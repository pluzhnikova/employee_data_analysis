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0\Desktop\excel projects\EmployeeSampleData\"/>
    </mc:Choice>
  </mc:AlternateContent>
  <xr:revisionPtr revIDLastSave="0" documentId="13_ncr:1_{6E32C915-6F8D-43DB-A8F9-0F3AD2BF7178}" xr6:coauthVersionLast="47" xr6:coauthVersionMax="47" xr10:uidLastSave="{00000000-0000-0000-0000-000000000000}"/>
  <bookViews>
    <workbookView xWindow="-110" yWindow="-110" windowWidth="19420" windowHeight="10300" xr2:uid="{65C14963-D7D9-489F-85DF-B390E3AF6B64}"/>
  </bookViews>
  <sheets>
    <sheet name="Employees List" sheetId="6" r:id="rId1"/>
    <sheet name="Employees" sheetId="5" r:id="rId2"/>
    <sheet name="Bonuces Dashboard" sheetId="4" r:id="rId3"/>
    <sheet name="Salaries Dashboard" sheetId="2" r:id="rId4"/>
    <sheet name="PivotTables" sheetId="3" r:id="rId5"/>
    <sheet name="Data" sheetId="1" r:id="rId6"/>
  </sheets>
  <definedNames>
    <definedName name="_xlcn.WorksheetConnection_EmployeeSampleData.xlsxTBL_Employees1" hidden="1">TBL_Employees[]</definedName>
    <definedName name="ContriesRange">PivotTables!$AH$11:$AH$13</definedName>
    <definedName name="DepartmentRange">PivotTables!$AH$3:$AH$9</definedName>
    <definedName name="DepartmentsRange">PivotTables!$AH$3</definedName>
    <definedName name="Max">PivotTables!$T$11</definedName>
    <definedName name="Срез_Department">#N/A</definedName>
    <definedName name="Срез_Department1">#N/A</definedName>
    <definedName name="Срез_Is_Current_Worker">#N/A</definedName>
    <definedName name="Срез_Is_Current_Worker1">#N/A</definedName>
  </definedNames>
  <calcPr calcId="181029"/>
  <pivotCaches>
    <pivotCache cacheId="204" r:id="rId7"/>
    <pivotCache cacheId="207" r:id="rId8"/>
    <pivotCache cacheId="210" r:id="rId9"/>
    <pivotCache cacheId="213" r:id="rId10"/>
    <pivotCache cacheId="279" r:id="rId11"/>
    <pivotCache cacheId="282" r:id="rId12"/>
    <pivotCache cacheId="285" r:id="rId13"/>
    <pivotCache cacheId="288" r:id="rId14"/>
    <pivotCache cacheId="291" r:id="rId15"/>
    <pivotCache cacheId="294" r:id="rId16"/>
    <pivotCache cacheId="297" r:id="rId17"/>
  </pivotCaches>
  <extLst>
    <ext xmlns:x14="http://schemas.microsoft.com/office/spreadsheetml/2009/9/main" uri="{876F7934-8845-4945-9796-88D515C7AA90}">
      <x14:pivotCaches>
        <pivotCache cacheId="15" r:id="rId18"/>
        <pivotCache cacheId="16" r:id="rId19"/>
      </x14:pivotCaches>
    </ex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Employees" name="TBL_Employees" connection="WorksheetConnection_Employee Sample Data.xlsx!TBL_Employees"/>
        </x15:modelTables>
        <x15:extLst>
          <ext xmlns:x16="http://schemas.microsoft.com/office/spreadsheetml/2014/11/main" uri="{9835A34E-60A6-4A7C-AAB8-D5F71C897F49}">
            <x16:modelTimeGroupings>
              <x16:modelTimeGrouping tableName="TBL_Employees" columnName="Hire Date" columnId="Hire Date">
                <x16:calculatedTimeColumn columnName="Hire Date (Год)" columnId="Hire Date (Год)" contentType="years" isSelected="1"/>
                <x16:calculatedTimeColumn columnName="Hire Date (Квартал)" columnId="Hire Date (Квартал)" contentType="quarters" isSelected="1"/>
                <x16:calculatedTimeColumn columnName="Hire Date (Индекс месяца)" columnId="Hire Date (Индекс месяца)" contentType="monthsindex" isSelected="1"/>
                <x16:calculatedTimeColumn columnName="Hire Date (Месяц)" columnId="Hire Date (Месяц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U20" i="6" l="1"/>
  <c r="F10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O1001" i="1"/>
  <c r="Q12" i="3"/>
  <c r="Q13" i="3" s="1"/>
  <c r="Q14" i="3" s="1"/>
  <c r="Q15" i="3" s="1"/>
  <c r="Q16" i="3" s="1"/>
  <c r="Q17" i="3" s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Q5" i="3"/>
  <c r="Q9" i="3" s="1"/>
  <c r="T13" i="3"/>
  <c r="Z13" i="3"/>
  <c r="N13" i="3"/>
  <c r="Q6" i="3" l="1"/>
  <c r="Q7" i="3"/>
  <c r="Q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AEA4E8-5853-4562-A1EE-063CCD7E93BD}" keepAlive="1" name="ThisWorkbookDataModel" description="Модель данных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DF5B86F-5395-4F3B-9D6F-18D1AE927136}" name="WorksheetConnection_Employee Sample Data.xlsx!TBL_Employees" type="102" refreshedVersion="8" minRefreshableVersion="5">
    <extLst>
      <ext xmlns:x15="http://schemas.microsoft.com/office/spreadsheetml/2010/11/main" uri="{DE250136-89BD-433C-8126-D09CA5730AF9}">
        <x15:connection id="TBL_Employees" autoDelete="1">
          <x15:rangePr sourceName="_xlcn.WorksheetConnection_EmployeeSampleData.xlsxTBL_Employees1"/>
        </x15:connection>
      </ext>
    </extLst>
  </connection>
</connections>
</file>

<file path=xl/sharedStrings.xml><?xml version="1.0" encoding="utf-8"?>
<sst xmlns="http://schemas.openxmlformats.org/spreadsheetml/2006/main" count="10090" uniqueCount="2026">
  <si>
    <t>EEID</t>
  </si>
  <si>
    <t>Full Name</t>
  </si>
  <si>
    <t>Job Title</t>
  </si>
  <si>
    <t>Department</t>
  </si>
  <si>
    <t>Business Unit</t>
  </si>
  <si>
    <t>Gender</t>
  </si>
  <si>
    <t>Ethnicity</t>
  </si>
  <si>
    <t>Age</t>
  </si>
  <si>
    <t>Hire Date</t>
  </si>
  <si>
    <t>Annual Salary</t>
  </si>
  <si>
    <t>Bonus %</t>
  </si>
  <si>
    <t>Country</t>
  </si>
  <si>
    <t>City</t>
  </si>
  <si>
    <t>Exit Date</t>
  </si>
  <si>
    <t>Vice President</t>
  </si>
  <si>
    <t>Finance</t>
  </si>
  <si>
    <t>Research &amp; Development</t>
  </si>
  <si>
    <t>Female</t>
  </si>
  <si>
    <t>Caucasian</t>
  </si>
  <si>
    <t>United States</t>
  </si>
  <si>
    <t>Chicago</t>
  </si>
  <si>
    <t/>
  </si>
  <si>
    <t>HRIS Analyst</t>
  </si>
  <si>
    <t>Human Resources</t>
  </si>
  <si>
    <t>Asian</t>
  </si>
  <si>
    <t>Austin</t>
  </si>
  <si>
    <t>Enterprise Architect</t>
  </si>
  <si>
    <t>IT</t>
  </si>
  <si>
    <t>Male</t>
  </si>
  <si>
    <t>Columbus</t>
  </si>
  <si>
    <t>Quality Engineer</t>
  </si>
  <si>
    <t>Engineering</t>
  </si>
  <si>
    <t>Corporate</t>
  </si>
  <si>
    <t>China</t>
  </si>
  <si>
    <t>Chengdu</t>
  </si>
  <si>
    <t>Network Engineer</t>
  </si>
  <si>
    <t>Manufacturing</t>
  </si>
  <si>
    <t>E03750</t>
  </si>
  <si>
    <t>Cloud Infrastructure Architect</t>
  </si>
  <si>
    <t>Phoenix</t>
  </si>
  <si>
    <t>Director</t>
  </si>
  <si>
    <t>E02274</t>
  </si>
  <si>
    <t>Sr. Analyst</t>
  </si>
  <si>
    <t>Marketing</t>
  </si>
  <si>
    <t>Speciality Products</t>
  </si>
  <si>
    <t>Miami</t>
  </si>
  <si>
    <t>E00530</t>
  </si>
  <si>
    <t>Black</t>
  </si>
  <si>
    <t>E04380</t>
  </si>
  <si>
    <t>Sr. Account Representative</t>
  </si>
  <si>
    <t>Sales</t>
  </si>
  <si>
    <t>Latino</t>
  </si>
  <si>
    <t>Brazil</t>
  </si>
  <si>
    <t>Sao Paulo</t>
  </si>
  <si>
    <t>E01994</t>
  </si>
  <si>
    <t>Technical Architect</t>
  </si>
  <si>
    <t>Computer Systems Manager</t>
  </si>
  <si>
    <t>E02572</t>
  </si>
  <si>
    <t>Test Engineer</t>
  </si>
  <si>
    <t>Automation Engineer</t>
  </si>
  <si>
    <t>Beijing</t>
  </si>
  <si>
    <t>Sr. Manger</t>
  </si>
  <si>
    <t>Manager</t>
  </si>
  <si>
    <t>Seattle</t>
  </si>
  <si>
    <t>Analyst II</t>
  </si>
  <si>
    <t>Accounting</t>
  </si>
  <si>
    <t>Rio de Janerio</t>
  </si>
  <si>
    <t>Axel Santos</t>
  </si>
  <si>
    <t>Analyst</t>
  </si>
  <si>
    <t>Operations Engineer</t>
  </si>
  <si>
    <t>E01927</t>
  </si>
  <si>
    <t>Network Architect</t>
  </si>
  <si>
    <t>Adeline Huang</t>
  </si>
  <si>
    <t>IT Coordinator</t>
  </si>
  <si>
    <t>Shanghai</t>
  </si>
  <si>
    <t>E03292</t>
  </si>
  <si>
    <t>Systems Analyst</t>
  </si>
  <si>
    <t>Sr. Business Partner</t>
  </si>
  <si>
    <t>E00650</t>
  </si>
  <si>
    <t>E02744</t>
  </si>
  <si>
    <t>Chongqing</t>
  </si>
  <si>
    <t>Manaus</t>
  </si>
  <si>
    <t>Service Desk Analyst</t>
  </si>
  <si>
    <t>Business Partner</t>
  </si>
  <si>
    <t>Controls Engineer</t>
  </si>
  <si>
    <t>E04029</t>
  </si>
  <si>
    <t>Development Engineer</t>
  </si>
  <si>
    <t>E04545</t>
  </si>
  <si>
    <t>Solutions Architect</t>
  </si>
  <si>
    <t>Network Administrator</t>
  </si>
  <si>
    <t>E03984</t>
  </si>
  <si>
    <t>IT Systems Architect</t>
  </si>
  <si>
    <t>Vivian Lewis</t>
  </si>
  <si>
    <t>E00824</t>
  </si>
  <si>
    <t>Account Representative</t>
  </si>
  <si>
    <t>E02044</t>
  </si>
  <si>
    <t>E01263</t>
  </si>
  <si>
    <t>Engineering Manager</t>
  </si>
  <si>
    <t>System Administrator </t>
  </si>
  <si>
    <t>E01550</t>
  </si>
  <si>
    <t>E02832</t>
  </si>
  <si>
    <t>E04285</t>
  </si>
  <si>
    <t>E00917</t>
  </si>
  <si>
    <t>E03901</t>
  </si>
  <si>
    <t>E03131</t>
  </si>
  <si>
    <t>E02728</t>
  </si>
  <si>
    <t>E01339</t>
  </si>
  <si>
    <t>E03404</t>
  </si>
  <si>
    <t>E00119</t>
  </si>
  <si>
    <t>E03579</t>
  </si>
  <si>
    <t>E03252</t>
  </si>
  <si>
    <t>Everly Lin</t>
  </si>
  <si>
    <t>E01465</t>
  </si>
  <si>
    <t>E01807</t>
  </si>
  <si>
    <t>E04749</t>
  </si>
  <si>
    <t>E04517</t>
  </si>
  <si>
    <t>E01789</t>
  </si>
  <si>
    <t>E02848</t>
  </si>
  <si>
    <t>E03362</t>
  </si>
  <si>
    <t>E03097</t>
  </si>
  <si>
    <t>E04048</t>
  </si>
  <si>
    <t>E03694</t>
  </si>
  <si>
    <t>E03277</t>
  </si>
  <si>
    <t>E03550</t>
  </si>
  <si>
    <t>E01116</t>
  </si>
  <si>
    <t>E02235</t>
  </si>
  <si>
    <t>E01422</t>
  </si>
  <si>
    <t>E02903</t>
  </si>
  <si>
    <t>E00218</t>
  </si>
  <si>
    <t>Field Engineer</t>
  </si>
  <si>
    <t>Hailey Song</t>
  </si>
  <si>
    <t>E04369</t>
  </si>
  <si>
    <t>Asher Morales</t>
  </si>
  <si>
    <t>Carter Ortiz</t>
  </si>
  <si>
    <t>E02938</t>
  </si>
  <si>
    <t>E02923</t>
  </si>
  <si>
    <t>E02190</t>
  </si>
  <si>
    <t>E00325</t>
  </si>
  <si>
    <t>E01412</t>
  </si>
  <si>
    <t>E02307</t>
  </si>
  <si>
    <t>John Dang</t>
  </si>
  <si>
    <t>E00553</t>
  </si>
  <si>
    <t>E03799</t>
  </si>
  <si>
    <t>E02960</t>
  </si>
  <si>
    <t>E04290</t>
  </si>
  <si>
    <t>Nicholas Wong</t>
  </si>
  <si>
    <t>E04458</t>
  </si>
  <si>
    <t>Wesley Adams</t>
  </si>
  <si>
    <t>E04799</t>
  </si>
  <si>
    <t>E04962</t>
  </si>
  <si>
    <t>E00144</t>
  </si>
  <si>
    <t>E01981</t>
  </si>
  <si>
    <t>E03025</t>
  </si>
  <si>
    <t>E00287</t>
  </si>
  <si>
    <t>E00116</t>
  </si>
  <si>
    <t>E00691</t>
  </si>
  <si>
    <t>E03429</t>
  </si>
  <si>
    <t>E00813</t>
  </si>
  <si>
    <t>E03402</t>
  </si>
  <si>
    <t>E01985</t>
  </si>
  <si>
    <t>E02642</t>
  </si>
  <si>
    <t>E01832</t>
  </si>
  <si>
    <t>Daniel Jordan</t>
  </si>
  <si>
    <t>E03595</t>
  </si>
  <si>
    <t>E00044</t>
  </si>
  <si>
    <t>E03170</t>
  </si>
  <si>
    <t>E02047</t>
  </si>
  <si>
    <t>E03547</t>
  </si>
  <si>
    <t>E02522</t>
  </si>
  <si>
    <t>E01540</t>
  </si>
  <si>
    <t>E00502</t>
  </si>
  <si>
    <t>E03863</t>
  </si>
  <si>
    <t>E04018</t>
  </si>
  <si>
    <t>E02770</t>
  </si>
  <si>
    <t>E00591</t>
  </si>
  <si>
    <t>E03854</t>
  </si>
  <si>
    <t>E00639</t>
  </si>
  <si>
    <t>E01249</t>
  </si>
  <si>
    <t>E02420</t>
  </si>
  <si>
    <t>E01466</t>
  </si>
  <si>
    <t>E00401</t>
  </si>
  <si>
    <t>Raelynn Gupta</t>
  </si>
  <si>
    <t>E00791</t>
  </si>
  <si>
    <t>E00834</t>
  </si>
  <si>
    <t>E02183</t>
  </si>
  <si>
    <t>E02791</t>
  </si>
  <si>
    <t>E04131</t>
  </si>
  <si>
    <t>E03956</t>
  </si>
  <si>
    <t>E04784</t>
  </si>
  <si>
    <t>E00752</t>
  </si>
  <si>
    <t>E00431</t>
  </si>
  <si>
    <t>Allison Leung</t>
  </si>
  <si>
    <t>E00703</t>
  </si>
  <si>
    <t>Brooklyn Daniels</t>
  </si>
  <si>
    <t>E00880</t>
  </si>
  <si>
    <t>E04853</t>
  </si>
  <si>
    <t>E03870</t>
  </si>
  <si>
    <t>E02833</t>
  </si>
  <si>
    <t>E04217</t>
  </si>
  <si>
    <t>E02252</t>
  </si>
  <si>
    <t>E00342</t>
  </si>
  <si>
    <t>E03506</t>
  </si>
  <si>
    <t>E00701</t>
  </si>
  <si>
    <t>E00699</t>
  </si>
  <si>
    <t>E01611</t>
  </si>
  <si>
    <t>E04035</t>
  </si>
  <si>
    <t>E04163</t>
  </si>
  <si>
    <t>E01501</t>
  </si>
  <si>
    <t>E02489</t>
  </si>
  <si>
    <t>E03908</t>
  </si>
  <si>
    <t>E02942</t>
  </si>
  <si>
    <t>E01309</t>
  </si>
  <si>
    <t>Christopher Lim</t>
  </si>
  <si>
    <t>E04670</t>
  </si>
  <si>
    <t>E02710</t>
  </si>
  <si>
    <t>E04920</t>
  </si>
  <si>
    <t>E01281</t>
  </si>
  <si>
    <t>E03296</t>
  </si>
  <si>
    <t>E00380</t>
  </si>
  <si>
    <t>E01409</t>
  </si>
  <si>
    <t>E02375</t>
  </si>
  <si>
    <t>E01378</t>
  </si>
  <si>
    <t>E04969</t>
  </si>
  <si>
    <t>E02576</t>
  </si>
  <si>
    <t>E00810</t>
  </si>
  <si>
    <t>Lincoln Henderson</t>
  </si>
  <si>
    <t>E01546</t>
  </si>
  <si>
    <t>E02074</t>
  </si>
  <si>
    <t>E03047</t>
  </si>
  <si>
    <t>Sophie Silva</t>
  </si>
  <si>
    <t>E03567</t>
  </si>
  <si>
    <t>E02071</t>
  </si>
  <si>
    <t>E00181</t>
  </si>
  <si>
    <t>E00981</t>
  </si>
  <si>
    <t>E02861</t>
  </si>
  <si>
    <t>E00568</t>
  </si>
  <si>
    <t>E02850</t>
  </si>
  <si>
    <t>Hailey Dang</t>
  </si>
  <si>
    <t>E02415</t>
  </si>
  <si>
    <t>E00607</t>
  </si>
  <si>
    <t>E04194</t>
  </si>
  <si>
    <t>E00443</t>
  </si>
  <si>
    <t>E00862</t>
  </si>
  <si>
    <t>E04299</t>
  </si>
  <si>
    <t>E02939</t>
  </si>
  <si>
    <t>E02855</t>
  </si>
  <si>
    <t>E00206</t>
  </si>
  <si>
    <t>E02258</t>
  </si>
  <si>
    <t>E01006</t>
  </si>
  <si>
    <t>E01967</t>
  </si>
  <si>
    <t>E04128</t>
  </si>
  <si>
    <t>E02813</t>
  </si>
  <si>
    <t>E01132</t>
  </si>
  <si>
    <t>E04265</t>
  </si>
  <si>
    <t>E04536</t>
  </si>
  <si>
    <t>E00023</t>
  </si>
  <si>
    <t>E01631</t>
  </si>
  <si>
    <t>Ruby Barnes</t>
  </si>
  <si>
    <t>E01486</t>
  </si>
  <si>
    <t>E00941</t>
  </si>
  <si>
    <t>E00559</t>
  </si>
  <si>
    <t>E01898</t>
  </si>
  <si>
    <t>Camila Evans</t>
  </si>
  <si>
    <t>E04127</t>
  </si>
  <si>
    <t>E04877</t>
  </si>
  <si>
    <t>Jeremiah Lu</t>
  </si>
  <si>
    <t>E02033</t>
  </si>
  <si>
    <t>E00091</t>
  </si>
  <si>
    <t>E00555</t>
  </si>
  <si>
    <t>E02984</t>
  </si>
  <si>
    <t>E04607</t>
  </si>
  <si>
    <t>E00900</t>
  </si>
  <si>
    <t>E03394</t>
  </si>
  <si>
    <t>E02604</t>
  </si>
  <si>
    <t>E01902</t>
  </si>
  <si>
    <t>E01111</t>
  </si>
  <si>
    <t>E00836</t>
  </si>
  <si>
    <t>E02468</t>
  </si>
  <si>
    <t>E04542</t>
  </si>
  <si>
    <t>E03574</t>
  </si>
  <si>
    <t>E01883</t>
  </si>
  <si>
    <t>Brooklyn Ruiz</t>
  </si>
  <si>
    <t>E03000</t>
  </si>
  <si>
    <t>E02094</t>
  </si>
  <si>
    <t>E00929</t>
  </si>
  <si>
    <t>E02825</t>
  </si>
  <si>
    <t>Theodore Ngo</t>
  </si>
  <si>
    <t>E01584</t>
  </si>
  <si>
    <t>E00344</t>
  </si>
  <si>
    <t>E04601</t>
  </si>
  <si>
    <t>E01947</t>
  </si>
  <si>
    <t>E04959</t>
  </si>
  <si>
    <t>E03875</t>
  </si>
  <si>
    <t>E00154</t>
  </si>
  <si>
    <t>E03096</t>
  </si>
  <si>
    <t>E01225</t>
  </si>
  <si>
    <t>E04332</t>
  </si>
  <si>
    <t>E04308</t>
  </si>
  <si>
    <t>Axel Soto</t>
  </si>
  <si>
    <t>E02378</t>
  </si>
  <si>
    <t>E03928</t>
  </si>
  <si>
    <t>E00556</t>
  </si>
  <si>
    <t>E03327</t>
  </si>
  <si>
    <t>E04811</t>
  </si>
  <si>
    <t>E03455</t>
  </si>
  <si>
    <t>E03018</t>
  </si>
  <si>
    <t>Lucy Avila</t>
  </si>
  <si>
    <t>E03227</t>
  </si>
  <si>
    <t>E03440</t>
  </si>
  <si>
    <t>E02877</t>
  </si>
  <si>
    <t>E03255</t>
  </si>
  <si>
    <t>Luna Simmons</t>
  </si>
  <si>
    <t>E03717</t>
  </si>
  <si>
    <t>E01578</t>
  </si>
  <si>
    <t>E03521</t>
  </si>
  <si>
    <t>E02112</t>
  </si>
  <si>
    <t>E03325</t>
  </si>
  <si>
    <t>E03972</t>
  </si>
  <si>
    <t>Julia Sandoval</t>
  </si>
  <si>
    <t>E04386</t>
  </si>
  <si>
    <t>E00365</t>
  </si>
  <si>
    <t>E00432</t>
  </si>
  <si>
    <t>E00626</t>
  </si>
  <si>
    <t>E03354</t>
  </si>
  <si>
    <t>E01241</t>
  </si>
  <si>
    <t>E03718</t>
  </si>
  <si>
    <t>E02681</t>
  </si>
  <si>
    <t>E04288</t>
  </si>
  <si>
    <t>Alice Soto</t>
  </si>
  <si>
    <t>E01264</t>
  </si>
  <si>
    <t>E01371</t>
  </si>
  <si>
    <t>E02103</t>
  </si>
  <si>
    <t>E00697</t>
  </si>
  <si>
    <t>E01754</t>
  </si>
  <si>
    <t>E04345</t>
  </si>
  <si>
    <t>E04697</t>
  </si>
  <si>
    <t>E00265</t>
  </si>
  <si>
    <t>E04487</t>
  </si>
  <si>
    <t>E03181</t>
  </si>
  <si>
    <t>E01952</t>
  </si>
  <si>
    <t>E04732</t>
  </si>
  <si>
    <t>E00480</t>
  </si>
  <si>
    <t>E03749</t>
  </si>
  <si>
    <t>E03981</t>
  </si>
  <si>
    <t>E03994</t>
  </si>
  <si>
    <t>E00276</t>
  </si>
  <si>
    <t>E04213</t>
  </si>
  <si>
    <t>E03802</t>
  </si>
  <si>
    <t>Ayla Ng</t>
  </si>
  <si>
    <t>E04379</t>
  </si>
  <si>
    <t>E00592</t>
  </si>
  <si>
    <t>E00422</t>
  </si>
  <si>
    <t>E01712</t>
  </si>
  <si>
    <t>E02856</t>
  </si>
  <si>
    <t>E04112</t>
  </si>
  <si>
    <t>E00089</t>
  </si>
  <si>
    <t>Samantha Rogers</t>
  </si>
  <si>
    <t>E02628</t>
  </si>
  <si>
    <t>E00595</t>
  </si>
  <si>
    <t>E01423</t>
  </si>
  <si>
    <t>E02217</t>
  </si>
  <si>
    <t>E04940</t>
  </si>
  <si>
    <t>E01639</t>
  </si>
  <si>
    <t>E04109</t>
  </si>
  <si>
    <t>E02473</t>
  </si>
  <si>
    <t>E04926</t>
  </si>
  <si>
    <t>E04474</t>
  </si>
  <si>
    <t>E04267</t>
  </si>
  <si>
    <t>E04419</t>
  </si>
  <si>
    <t>E04625</t>
  </si>
  <si>
    <t>E03419</t>
  </si>
  <si>
    <t>E03305</t>
  </si>
  <si>
    <t>E02147</t>
  </si>
  <si>
    <t>E04484</t>
  </si>
  <si>
    <t>E02313</t>
  </si>
  <si>
    <t>E00436</t>
  </si>
  <si>
    <t>Hannah King</t>
  </si>
  <si>
    <t>E02189</t>
  </si>
  <si>
    <t>Quinn Xiong</t>
  </si>
  <si>
    <t>E02783</t>
  </si>
  <si>
    <t>E02139</t>
  </si>
  <si>
    <t>E01638</t>
  </si>
  <si>
    <t>E03680</t>
  </si>
  <si>
    <t>Andrew Huynh</t>
  </si>
  <si>
    <t>E04089</t>
  </si>
  <si>
    <t>E03980</t>
  </si>
  <si>
    <t>Zoe Sanchez</t>
  </si>
  <si>
    <t>E04222</t>
  </si>
  <si>
    <t>E01787</t>
  </si>
  <si>
    <t>E00268</t>
  </si>
  <si>
    <t>E04123</t>
  </si>
  <si>
    <t>E01499</t>
  </si>
  <si>
    <t>Jackson Jordan</t>
  </si>
  <si>
    <t>E04387</t>
  </si>
  <si>
    <t>E03300</t>
  </si>
  <si>
    <t>E01125</t>
  </si>
  <si>
    <t>E03774</t>
  </si>
  <si>
    <t>E01977</t>
  </si>
  <si>
    <t>E02088</t>
  </si>
  <si>
    <t>E01338</t>
  </si>
  <si>
    <t>E02875</t>
  </si>
  <si>
    <t>Rylee Bui</t>
  </si>
  <si>
    <t>E03465</t>
  </si>
  <si>
    <t>E04598</t>
  </si>
  <si>
    <t>Piper Richardson</t>
  </si>
  <si>
    <t>E01037</t>
  </si>
  <si>
    <t>E01103</t>
  </si>
  <si>
    <t>E02363</t>
  </si>
  <si>
    <t>E01123</t>
  </si>
  <si>
    <t>Peyton Walker</t>
  </si>
  <si>
    <t>E02387</t>
  </si>
  <si>
    <t>Emily Davis</t>
  </si>
  <si>
    <t>E04105</t>
  </si>
  <si>
    <t>Theodore Dinh</t>
  </si>
  <si>
    <t>Luna Sanders</t>
  </si>
  <si>
    <t>Penelope Jordan</t>
  </si>
  <si>
    <t>Austin Vo</t>
  </si>
  <si>
    <t>E00644</t>
  </si>
  <si>
    <t>Joshua Gupta</t>
  </si>
  <si>
    <t>Luke Martin</t>
  </si>
  <si>
    <t>E04533</t>
  </si>
  <si>
    <t>Easton Bailey</t>
  </si>
  <si>
    <t>E03838</t>
  </si>
  <si>
    <t>Madeline Walker</t>
  </si>
  <si>
    <t>Savannah Ali</t>
  </si>
  <si>
    <t>E03344</t>
  </si>
  <si>
    <t>Camila Rogers</t>
  </si>
  <si>
    <t>Eli Jones</t>
  </si>
  <si>
    <t>E04239</t>
  </si>
  <si>
    <t>Everleigh Ng</t>
  </si>
  <si>
    <t>E03496</t>
  </si>
  <si>
    <t>Robert Yang</t>
  </si>
  <si>
    <t>E00549</t>
  </si>
  <si>
    <t>Isabella Xi</t>
  </si>
  <si>
    <t>E00163</t>
  </si>
  <si>
    <t>Bella Powell</t>
  </si>
  <si>
    <t>E00884</t>
  </si>
  <si>
    <t>Camila Silva</t>
  </si>
  <si>
    <t>E04116</t>
  </si>
  <si>
    <t>David Barnes</t>
  </si>
  <si>
    <t>Adam Dang</t>
  </si>
  <si>
    <t>Elias Alvarado</t>
  </si>
  <si>
    <t>Eva Rivera</t>
  </si>
  <si>
    <t>E03484</t>
  </si>
  <si>
    <t>Logan Rivera</t>
  </si>
  <si>
    <t>E00671</t>
  </si>
  <si>
    <t>Leonardo Dixon</t>
  </si>
  <si>
    <t>Mateo Her</t>
  </si>
  <si>
    <t>E02206</t>
  </si>
  <si>
    <t>Jose Henderson</t>
  </si>
  <si>
    <t>Abigail Mejia</t>
  </si>
  <si>
    <t>Wyatt Chin</t>
  </si>
  <si>
    <t>E03343</t>
  </si>
  <si>
    <t>Carson Lu</t>
  </si>
  <si>
    <t>E00304</t>
  </si>
  <si>
    <t>Dylan Choi</t>
  </si>
  <si>
    <t>E02594</t>
  </si>
  <si>
    <t>Ezekiel Kumar</t>
  </si>
  <si>
    <t>E00402</t>
  </si>
  <si>
    <t>Dominic Guzman</t>
  </si>
  <si>
    <t>Angel Powell</t>
  </si>
  <si>
    <t>E03549</t>
  </si>
  <si>
    <t>Mateo Vu</t>
  </si>
  <si>
    <t>E03247</t>
  </si>
  <si>
    <t>Caroline Jenkins</t>
  </si>
  <si>
    <t>Nora Brown</t>
  </si>
  <si>
    <t>E04152</t>
  </si>
  <si>
    <t>E01628</t>
  </si>
  <si>
    <t>Jackson Perry</t>
  </si>
  <si>
    <t>Riley Padilla</t>
  </si>
  <si>
    <t>E01417</t>
  </si>
  <si>
    <t>Leah Pena</t>
  </si>
  <si>
    <t>Owen Lam</t>
  </si>
  <si>
    <t>Kennedy Foster</t>
  </si>
  <si>
    <t>John Moore</t>
  </si>
  <si>
    <t>E04600</t>
  </si>
  <si>
    <t>William Vu</t>
  </si>
  <si>
    <t>E00586</t>
  </si>
  <si>
    <t>Sadie Washington</t>
  </si>
  <si>
    <t>E03538</t>
  </si>
  <si>
    <t>Gabriel Holmes</t>
  </si>
  <si>
    <t>E02185</t>
  </si>
  <si>
    <t>Wyatt Rojas</t>
  </si>
  <si>
    <t>E03830</t>
  </si>
  <si>
    <t>Eva Coleman</t>
  </si>
  <si>
    <t>E03720</t>
  </si>
  <si>
    <t>Dominic Clark</t>
  </si>
  <si>
    <t>Lucy Alexander</t>
  </si>
  <si>
    <t>E04917</t>
  </si>
  <si>
    <t>Everleigh Washington</t>
  </si>
  <si>
    <t>E00415</t>
  </si>
  <si>
    <t>Leilani Butler</t>
  </si>
  <si>
    <t>E02862</t>
  </si>
  <si>
    <t>Peyton Huang</t>
  </si>
  <si>
    <t>E04207</t>
  </si>
  <si>
    <t>John Contreras</t>
  </si>
  <si>
    <t>Rylee Yu</t>
  </si>
  <si>
    <t>E01797</t>
  </si>
  <si>
    <t>Piper Lewis</t>
  </si>
  <si>
    <t>E01839</t>
  </si>
  <si>
    <t>Stella Alexander</t>
  </si>
  <si>
    <t>E01633</t>
  </si>
  <si>
    <t>Addison Do</t>
  </si>
  <si>
    <t>E01848</t>
  </si>
  <si>
    <t>Zoey Jackson</t>
  </si>
  <si>
    <t>E00716</t>
  </si>
  <si>
    <t>John Chow</t>
  </si>
  <si>
    <t>Ava Ayala</t>
  </si>
  <si>
    <t>Natalia Salazar</t>
  </si>
  <si>
    <t>E04000</t>
  </si>
  <si>
    <t>Skylar Carrillo</t>
  </si>
  <si>
    <t>Christian Sanders</t>
  </si>
  <si>
    <t>E03824</t>
  </si>
  <si>
    <t>Penelope Coleman</t>
  </si>
  <si>
    <t>E03906</t>
  </si>
  <si>
    <t>Everly Walker</t>
  </si>
  <si>
    <t>E04798</t>
  </si>
  <si>
    <t>Aurora Ali</t>
  </si>
  <si>
    <t>Penelope Guerrero</t>
  </si>
  <si>
    <t>E03349</t>
  </si>
  <si>
    <t>Anna Mehta</t>
  </si>
  <si>
    <t>E02966</t>
  </si>
  <si>
    <t>William Foster</t>
  </si>
  <si>
    <t>Jade Rojas</t>
  </si>
  <si>
    <t>E00105</t>
  </si>
  <si>
    <t>Isla Espinoza</t>
  </si>
  <si>
    <t>E00665</t>
  </si>
  <si>
    <t>David Chu</t>
  </si>
  <si>
    <t>Thomas Padilla</t>
  </si>
  <si>
    <t>Miles Salazar</t>
  </si>
  <si>
    <t>Mila Hong</t>
  </si>
  <si>
    <t>E03417</t>
  </si>
  <si>
    <t>Benjamin Moua</t>
  </si>
  <si>
    <t>E00254</t>
  </si>
  <si>
    <t>Samuel Morales</t>
  </si>
  <si>
    <t>E02166</t>
  </si>
  <si>
    <t>John Soto</t>
  </si>
  <si>
    <t>E00935</t>
  </si>
  <si>
    <t>Joseph Martin</t>
  </si>
  <si>
    <t>E01525</t>
  </si>
  <si>
    <t>Jose Ross</t>
  </si>
  <si>
    <t>E00386</t>
  </si>
  <si>
    <t>Parker James</t>
  </si>
  <si>
    <t>E00416</t>
  </si>
  <si>
    <t>Everleigh Fernandez</t>
  </si>
  <si>
    <t>E03383</t>
  </si>
  <si>
    <t>Lincoln Hall</t>
  </si>
  <si>
    <t>E01516</t>
  </si>
  <si>
    <t>Willow Mai</t>
  </si>
  <si>
    <t>E01234</t>
  </si>
  <si>
    <t>Jack Cheng</t>
  </si>
  <si>
    <t>Genesis Navarro</t>
  </si>
  <si>
    <t>Eliza Hernandez</t>
  </si>
  <si>
    <t>E01258</t>
  </si>
  <si>
    <t>Gabriel Brooks</t>
  </si>
  <si>
    <t>E00440</t>
  </si>
  <si>
    <t>Jack Huynh</t>
  </si>
  <si>
    <t>Everly Chow</t>
  </si>
  <si>
    <t>E00972</t>
  </si>
  <si>
    <t>Amelia Salazar</t>
  </si>
  <si>
    <t>E04562</t>
  </si>
  <si>
    <t>Xavier Zheng</t>
  </si>
  <si>
    <t>E02802</t>
  </si>
  <si>
    <t>Matthew Chau</t>
  </si>
  <si>
    <t>E01427</t>
  </si>
  <si>
    <t>Mia Cheng</t>
  </si>
  <si>
    <t>E04568</t>
  </si>
  <si>
    <t>E04931</t>
  </si>
  <si>
    <t>Zoe Romero</t>
  </si>
  <si>
    <t>Nolan Bui</t>
  </si>
  <si>
    <t>E03890</t>
  </si>
  <si>
    <t>Nevaeh Jones</t>
  </si>
  <si>
    <t>E01194</t>
  </si>
  <si>
    <t>Samantha Adams</t>
  </si>
  <si>
    <t>Madeline Shin</t>
  </si>
  <si>
    <t>Noah King</t>
  </si>
  <si>
    <t>E03816</t>
  </si>
  <si>
    <t>Leilani Chow</t>
  </si>
  <si>
    <t>E01261</t>
  </si>
  <si>
    <t>Connor Simmons</t>
  </si>
  <si>
    <t>E03612</t>
  </si>
  <si>
    <t>Grayson Cooper</t>
  </si>
  <si>
    <t>E01388</t>
  </si>
  <si>
    <t>Ivy Soto</t>
  </si>
  <si>
    <t>Aurora Simmons</t>
  </si>
  <si>
    <t>E04413</t>
  </si>
  <si>
    <t>Andrew Thomas</t>
  </si>
  <si>
    <t>Ezekiel Desai</t>
  </si>
  <si>
    <t>Gabriella Gupta</t>
  </si>
  <si>
    <t>E04903</t>
  </si>
  <si>
    <t>Skylar Liu</t>
  </si>
  <si>
    <t>E04735</t>
  </si>
  <si>
    <t>Nova Coleman</t>
  </si>
  <si>
    <t>Evelyn Dinh</t>
  </si>
  <si>
    <t>E03583</t>
  </si>
  <si>
    <t>Brooks Marquez</t>
  </si>
  <si>
    <t>E02017</t>
  </si>
  <si>
    <t>Connor Joseph</t>
  </si>
  <si>
    <t>E01642</t>
  </si>
  <si>
    <t>Mia Lam</t>
  </si>
  <si>
    <t>Scarlett Rodriguez</t>
  </si>
  <si>
    <t>Cora Rivera</t>
  </si>
  <si>
    <t>E02872</t>
  </si>
  <si>
    <t>Liam Jung</t>
  </si>
  <si>
    <t>E02331</t>
  </si>
  <si>
    <t>Sophia Huynh</t>
  </si>
  <si>
    <t>E00417</t>
  </si>
  <si>
    <t>Athena Carrillo</t>
  </si>
  <si>
    <t>Greyson Sanders</t>
  </si>
  <si>
    <t>E03061</t>
  </si>
  <si>
    <t>E00013</t>
  </si>
  <si>
    <t>Elena Vang</t>
  </si>
  <si>
    <t>Natalia Diaz</t>
  </si>
  <si>
    <t>E04769</t>
  </si>
  <si>
    <t>Mila Leung</t>
  </si>
  <si>
    <t>E03042</t>
  </si>
  <si>
    <t>Ava Nelson</t>
  </si>
  <si>
    <t>E00527</t>
  </si>
  <si>
    <t>Mateo Chu</t>
  </si>
  <si>
    <t>E01095</t>
  </si>
  <si>
    <t>Isla Lai</t>
  </si>
  <si>
    <t>Ezekiel Reed</t>
  </si>
  <si>
    <t>E01713</t>
  </si>
  <si>
    <t>Nolan Guzman</t>
  </si>
  <si>
    <t>E00128</t>
  </si>
  <si>
    <t>Everleigh Espinoza</t>
  </si>
  <si>
    <t>E03849</t>
  </si>
  <si>
    <t>Evelyn Jung</t>
  </si>
  <si>
    <t>E02464</t>
  </si>
  <si>
    <t>E00306</t>
  </si>
  <si>
    <t>Mateo Williams</t>
  </si>
  <si>
    <t>E03737</t>
  </si>
  <si>
    <t>Kennedy Rahman</t>
  </si>
  <si>
    <t>Levi Mendez</t>
  </si>
  <si>
    <t>Julian Fong</t>
  </si>
  <si>
    <t>E02706</t>
  </si>
  <si>
    <t>Nevaeh Kang</t>
  </si>
  <si>
    <t>E00170</t>
  </si>
  <si>
    <t>Hannah Nelson</t>
  </si>
  <si>
    <t>E01425</t>
  </si>
  <si>
    <t>Anthony Rogers</t>
  </si>
  <si>
    <t>E00130</t>
  </si>
  <si>
    <t>Paisley Kang</t>
  </si>
  <si>
    <t>Matthew Gupta</t>
  </si>
  <si>
    <t>Silas Chavez</t>
  </si>
  <si>
    <t>E04682</t>
  </si>
  <si>
    <t>Colton Thao</t>
  </si>
  <si>
    <t>E00957</t>
  </si>
  <si>
    <t>Genesis Perry</t>
  </si>
  <si>
    <t>Alexander Bryant</t>
  </si>
  <si>
    <t>Elias Zhang</t>
  </si>
  <si>
    <t>E00521</t>
  </si>
  <si>
    <t>Lily Carter</t>
  </si>
  <si>
    <t>Joseph Ruiz</t>
  </si>
  <si>
    <t>E01533</t>
  </si>
  <si>
    <t>Avery Bailey</t>
  </si>
  <si>
    <t>E04449</t>
  </si>
  <si>
    <t>Miles Hsu</t>
  </si>
  <si>
    <t>Piper Cheng</t>
  </si>
  <si>
    <t>E00816</t>
  </si>
  <si>
    <t>Skylar Watson</t>
  </si>
  <si>
    <t>E02283</t>
  </si>
  <si>
    <t>Jaxon Park</t>
  </si>
  <si>
    <t>E04888</t>
  </si>
  <si>
    <t>Elijah Henry</t>
  </si>
  <si>
    <t>E03907</t>
  </si>
  <si>
    <t>Camila Watson</t>
  </si>
  <si>
    <t>Lucas Thomas</t>
  </si>
  <si>
    <t>Skylar Doan</t>
  </si>
  <si>
    <t>Hudson Liu</t>
  </si>
  <si>
    <t>E01141</t>
  </si>
  <si>
    <t>Gianna Williams</t>
  </si>
  <si>
    <t>E02254</t>
  </si>
  <si>
    <t>Jaxson Sandoval</t>
  </si>
  <si>
    <t>E04504</t>
  </si>
  <si>
    <t>Jameson Alvarado</t>
  </si>
  <si>
    <t>Joseph Ly</t>
  </si>
  <si>
    <t>Daniel Richardson</t>
  </si>
  <si>
    <t>E04130</t>
  </si>
  <si>
    <t>Elias Figueroa</t>
  </si>
  <si>
    <t>Emma Brooks</t>
  </si>
  <si>
    <t>E00085</t>
  </si>
  <si>
    <t>Isla Wong</t>
  </si>
  <si>
    <t>E00672</t>
  </si>
  <si>
    <t>Mila Pena</t>
  </si>
  <si>
    <t>E04618</t>
  </si>
  <si>
    <t>Mason Zhao</t>
  </si>
  <si>
    <t>Jaxson Mai</t>
  </si>
  <si>
    <t>Ava Garza</t>
  </si>
  <si>
    <t>E00535</t>
  </si>
  <si>
    <t>Nathan Mendez</t>
  </si>
  <si>
    <t>E04630</t>
  </si>
  <si>
    <t>Maria Griffin</t>
  </si>
  <si>
    <t>E00874</t>
  </si>
  <si>
    <t>Alexander Choi</t>
  </si>
  <si>
    <t>Maria Hong</t>
  </si>
  <si>
    <t>Sophie Ali</t>
  </si>
  <si>
    <t>E03446</t>
  </si>
  <si>
    <t>Julian Ross</t>
  </si>
  <si>
    <t>E01361</t>
  </si>
  <si>
    <t>Emma Hill</t>
  </si>
  <si>
    <t>Leilani Yee</t>
  </si>
  <si>
    <t>E03719</t>
  </si>
  <si>
    <t>Jack Brown</t>
  </si>
  <si>
    <t>E03269</t>
  </si>
  <si>
    <t>Charlotte Chu</t>
  </si>
  <si>
    <t>Jeremiah Chu</t>
  </si>
  <si>
    <t>Miles Cho</t>
  </si>
  <si>
    <t>E02216</t>
  </si>
  <si>
    <t>Caleb Marquez</t>
  </si>
  <si>
    <t>E02803</t>
  </si>
  <si>
    <t>Eli Soto</t>
  </si>
  <si>
    <t>Carter Mejia</t>
  </si>
  <si>
    <t>Ethan Clark</t>
  </si>
  <si>
    <t>E03189</t>
  </si>
  <si>
    <t>Asher Jackson</t>
  </si>
  <si>
    <t>E03560</t>
  </si>
  <si>
    <t>E00769</t>
  </si>
  <si>
    <t>Jose Kang</t>
  </si>
  <si>
    <t>Aubrey Romero</t>
  </si>
  <si>
    <t>E02333</t>
  </si>
  <si>
    <t>Jaxson Wright</t>
  </si>
  <si>
    <t>E01002</t>
  </si>
  <si>
    <t>Elias Ali</t>
  </si>
  <si>
    <t>E03520</t>
  </si>
  <si>
    <t>Nolan Pena</t>
  </si>
  <si>
    <t>Luna Liu</t>
  </si>
  <si>
    <t>E00233</t>
  </si>
  <si>
    <t>Brooklyn Reyes</t>
  </si>
  <si>
    <t>E02639</t>
  </si>
  <si>
    <t>Hadley Parker</t>
  </si>
  <si>
    <t>Jonathan Chavez</t>
  </si>
  <si>
    <t>Sarah Ayala</t>
  </si>
  <si>
    <t>E00715</t>
  </si>
  <si>
    <t>Elijah Kang</t>
  </si>
  <si>
    <t>Ella White</t>
  </si>
  <si>
    <t>E02421</t>
  </si>
  <si>
    <t>Jordan Truong</t>
  </si>
  <si>
    <t>E00523</t>
  </si>
  <si>
    <t>E03615</t>
  </si>
  <si>
    <t>Daniel Dixon</t>
  </si>
  <si>
    <t>E02761</t>
  </si>
  <si>
    <t>Luca Duong</t>
  </si>
  <si>
    <t>E02121</t>
  </si>
  <si>
    <t>Levi Brown</t>
  </si>
  <si>
    <t>Mason Cho</t>
  </si>
  <si>
    <t>E00725</t>
  </si>
  <si>
    <t>Nova Herrera</t>
  </si>
  <si>
    <t>E03027</t>
  </si>
  <si>
    <t>Elijah Watson</t>
  </si>
  <si>
    <t>E03689</t>
  </si>
  <si>
    <t>Wesley Gray</t>
  </si>
  <si>
    <t>E01986</t>
  </si>
  <si>
    <t>Wesley Sharma</t>
  </si>
  <si>
    <t>E01286</t>
  </si>
  <si>
    <t>Mateo Mendez</t>
  </si>
  <si>
    <t>Jose Molina</t>
  </si>
  <si>
    <t>E04342</t>
  </si>
  <si>
    <t>Samantha Barnes</t>
  </si>
  <si>
    <t>E03904</t>
  </si>
  <si>
    <t>Hunter Ortiz</t>
  </si>
  <si>
    <t>E01291</t>
  </si>
  <si>
    <t>Thomas Aguilar</t>
  </si>
  <si>
    <t>Skylar Bell</t>
  </si>
  <si>
    <t>E01484</t>
  </si>
  <si>
    <t>Anna Zhu</t>
  </si>
  <si>
    <t>E03864</t>
  </si>
  <si>
    <t>Ella Hunter</t>
  </si>
  <si>
    <t>E00488</t>
  </si>
  <si>
    <t>Emery Hunter</t>
  </si>
  <si>
    <t>E02227</t>
  </si>
  <si>
    <t>Sofia Parker</t>
  </si>
  <si>
    <t>E04802</t>
  </si>
  <si>
    <t>Lucy Fong</t>
  </si>
  <si>
    <t>E01970</t>
  </si>
  <si>
    <t>Vivian Barnes</t>
  </si>
  <si>
    <t>Kai Chow</t>
  </si>
  <si>
    <t>E02031</t>
  </si>
  <si>
    <t>Melody Cooper</t>
  </si>
  <si>
    <t>James Bui</t>
  </si>
  <si>
    <t>E04871</t>
  </si>
  <si>
    <t>Liam Grant</t>
  </si>
  <si>
    <t>Owen Han</t>
  </si>
  <si>
    <t>E04742</t>
  </si>
  <si>
    <t>Kinsley Vega</t>
  </si>
  <si>
    <t>E01070</t>
  </si>
  <si>
    <t>Leonardo Martin</t>
  </si>
  <si>
    <t>E04359</t>
  </si>
  <si>
    <t>Greyson Lam</t>
  </si>
  <si>
    <t>E03268</t>
  </si>
  <si>
    <t>Emilia Rivera</t>
  </si>
  <si>
    <t>Penelope Johnson</t>
  </si>
  <si>
    <t>E01221</t>
  </si>
  <si>
    <t>Eva Figueroa</t>
  </si>
  <si>
    <t>Ezekiel Jordan</t>
  </si>
  <si>
    <t>E01687</t>
  </si>
  <si>
    <t>Luke Mai</t>
  </si>
  <si>
    <t>E02844</t>
  </si>
  <si>
    <t>Charles Diaz</t>
  </si>
  <si>
    <t>Adam Espinoza</t>
  </si>
  <si>
    <t>Jack Maldonado</t>
  </si>
  <si>
    <t>E03935</t>
  </si>
  <si>
    <t>Cora Jiang</t>
  </si>
  <si>
    <t>E00742</t>
  </si>
  <si>
    <t>Cooper Mitchell</t>
  </si>
  <si>
    <t>E02810</t>
  </si>
  <si>
    <t>Layla Torres</t>
  </si>
  <si>
    <t>E01860</t>
  </si>
  <si>
    <t>Jack Edwards</t>
  </si>
  <si>
    <t>E04890</t>
  </si>
  <si>
    <t>Eleanor Chan</t>
  </si>
  <si>
    <t>E02285</t>
  </si>
  <si>
    <t>Aria Xi</t>
  </si>
  <si>
    <t>E00842</t>
  </si>
  <si>
    <t>John Vega</t>
  </si>
  <si>
    <t>E01271</t>
  </si>
  <si>
    <t>Luke Munoz</t>
  </si>
  <si>
    <t>E01921</t>
  </si>
  <si>
    <t>Sarah Daniels</t>
  </si>
  <si>
    <t>E03664</t>
  </si>
  <si>
    <t>Aria Castro</t>
  </si>
  <si>
    <t>Autumn Joseph</t>
  </si>
  <si>
    <t>E00870</t>
  </si>
  <si>
    <t>Evelyn Liang</t>
  </si>
  <si>
    <t>E04167</t>
  </si>
  <si>
    <t>Henry Alvarez</t>
  </si>
  <si>
    <t>E00245</t>
  </si>
  <si>
    <t>Benjamin Delgado</t>
  </si>
  <si>
    <t>E00976</t>
  </si>
  <si>
    <t>Zoe Rodriguez</t>
  </si>
  <si>
    <t>Axel Chu</t>
  </si>
  <si>
    <t>Cameron Evans</t>
  </si>
  <si>
    <t>E04103</t>
  </si>
  <si>
    <t>Isabella Soto</t>
  </si>
  <si>
    <t>Eva Jenkins</t>
  </si>
  <si>
    <t>Cameron Powell</t>
  </si>
  <si>
    <t>E01232</t>
  </si>
  <si>
    <t>Samantha Foster</t>
  </si>
  <si>
    <t>E04572</t>
  </si>
  <si>
    <t>Jade Li</t>
  </si>
  <si>
    <t>E02747</t>
  </si>
  <si>
    <t>Kinsley Acosta</t>
  </si>
  <si>
    <t>E01064</t>
  </si>
  <si>
    <t>Clara Kang</t>
  </si>
  <si>
    <t>E00178</t>
  </si>
  <si>
    <t>Harper Alexander</t>
  </si>
  <si>
    <t>E01091</t>
  </si>
  <si>
    <t>Carter Reed</t>
  </si>
  <si>
    <t>Charlotte Ruiz</t>
  </si>
  <si>
    <t>Everleigh Jiang</t>
  </si>
  <si>
    <t>Audrey Smith</t>
  </si>
  <si>
    <t>Emery Acosta</t>
  </si>
  <si>
    <t>E02072</t>
  </si>
  <si>
    <t>Charles Robinson</t>
  </si>
  <si>
    <t>E02555</t>
  </si>
  <si>
    <t>Landon Lopez</t>
  </si>
  <si>
    <t>E00187</t>
  </si>
  <si>
    <t>Miles Mehta</t>
  </si>
  <si>
    <t>Ezra Simmons</t>
  </si>
  <si>
    <t>E02062</t>
  </si>
  <si>
    <t>Nora Santiago</t>
  </si>
  <si>
    <t>E00034</t>
  </si>
  <si>
    <t>Caroline Herrera</t>
  </si>
  <si>
    <t>E00273</t>
  </si>
  <si>
    <t>David Owens</t>
  </si>
  <si>
    <t>Avery Yee</t>
  </si>
  <si>
    <t>E01403</t>
  </si>
  <si>
    <t>Xavier Park</t>
  </si>
  <si>
    <t>E03438</t>
  </si>
  <si>
    <t>E04136</t>
  </si>
  <si>
    <t>Mason Cao</t>
  </si>
  <si>
    <t>E02944</t>
  </si>
  <si>
    <t>Joshua Fong</t>
  </si>
  <si>
    <t>Maria Chin</t>
  </si>
  <si>
    <t>E00078</t>
  </si>
  <si>
    <t>Eva Garcia</t>
  </si>
  <si>
    <t>E00825</t>
  </si>
  <si>
    <t>Anna Molina</t>
  </si>
  <si>
    <t>E04972</t>
  </si>
  <si>
    <t>Logan Bryant</t>
  </si>
  <si>
    <t>E03941</t>
  </si>
  <si>
    <t>Isla Han</t>
  </si>
  <si>
    <t>E02148</t>
  </si>
  <si>
    <t>Christopher Vega</t>
  </si>
  <si>
    <t>Lillian Park</t>
  </si>
  <si>
    <t>Kennedy Zhang</t>
  </si>
  <si>
    <t>E04800</t>
  </si>
  <si>
    <t>Eli Han</t>
  </si>
  <si>
    <t>E02838</t>
  </si>
  <si>
    <t>Julia Pham</t>
  </si>
  <si>
    <t>E02980</t>
  </si>
  <si>
    <t>Hailey Shin</t>
  </si>
  <si>
    <t>E04477</t>
  </si>
  <si>
    <t>Connor Grant</t>
  </si>
  <si>
    <t>E04348</t>
  </si>
  <si>
    <t>Natalia Owens</t>
  </si>
  <si>
    <t>Maria He</t>
  </si>
  <si>
    <t>Jade Yi</t>
  </si>
  <si>
    <t>E04126</t>
  </si>
  <si>
    <t>Dominic Baker</t>
  </si>
  <si>
    <t>E01896</t>
  </si>
  <si>
    <t>Adam Nelson</t>
  </si>
  <si>
    <t>Autumn Reed</t>
  </si>
  <si>
    <t>Robert Edwards</t>
  </si>
  <si>
    <t>E04037</t>
  </si>
  <si>
    <t>Roman Martinez</t>
  </si>
  <si>
    <t>Eleanor Li</t>
  </si>
  <si>
    <t>Connor Vang</t>
  </si>
  <si>
    <t>E02038</t>
  </si>
  <si>
    <t>Ellie Chung</t>
  </si>
  <si>
    <t>E03474</t>
  </si>
  <si>
    <t>Violet Hall</t>
  </si>
  <si>
    <t>Dylan Padilla</t>
  </si>
  <si>
    <t>E00702</t>
  </si>
  <si>
    <t>Nathan Pham</t>
  </si>
  <si>
    <t>E03081</t>
  </si>
  <si>
    <t>Ayla Brown</t>
  </si>
  <si>
    <t>Isaac Mitchell</t>
  </si>
  <si>
    <t>Jayden Jimenez</t>
  </si>
  <si>
    <t>Jaxon Tran</t>
  </si>
  <si>
    <t>E01753</t>
  </si>
  <si>
    <t>Connor Fong</t>
  </si>
  <si>
    <t>E04072</t>
  </si>
  <si>
    <t>Emery Mitchell</t>
  </si>
  <si>
    <t>Landon Luu</t>
  </si>
  <si>
    <t>Sophia Ahmed</t>
  </si>
  <si>
    <t>E00467</t>
  </si>
  <si>
    <t>Sofia Dinh</t>
  </si>
  <si>
    <t>Jonathan Patel</t>
  </si>
  <si>
    <t>Piper Patterson</t>
  </si>
  <si>
    <t>Cora Evans</t>
  </si>
  <si>
    <t>E04779</t>
  </si>
  <si>
    <t>Cameron Young</t>
  </si>
  <si>
    <t>E00501</t>
  </si>
  <si>
    <t>Melody Ho</t>
  </si>
  <si>
    <t>Aiden Bryant</t>
  </si>
  <si>
    <t>Grayson Walker</t>
  </si>
  <si>
    <t>E00311</t>
  </si>
  <si>
    <t>Scarlett Figueroa</t>
  </si>
  <si>
    <t>E04567</t>
  </si>
  <si>
    <t>Madeline Hoang</t>
  </si>
  <si>
    <t>E04378</t>
  </si>
  <si>
    <t>E03251</t>
  </si>
  <si>
    <t>Ruby Medina</t>
  </si>
  <si>
    <t>E03167</t>
  </si>
  <si>
    <t>Luke Zheng</t>
  </si>
  <si>
    <t>E03347</t>
  </si>
  <si>
    <t>Rylee Dinh</t>
  </si>
  <si>
    <t>Miles Evans</t>
  </si>
  <si>
    <t>E01351</t>
  </si>
  <si>
    <t>Leo Owens</t>
  </si>
  <si>
    <t>Caroline Owens</t>
  </si>
  <si>
    <t>E03807</t>
  </si>
  <si>
    <t>Kennedy Do</t>
  </si>
  <si>
    <t>Jade Acosta</t>
  </si>
  <si>
    <t>Mila Vasquez</t>
  </si>
  <si>
    <t>Allison Ayala</t>
  </si>
  <si>
    <t>E04816</t>
  </si>
  <si>
    <t>Jace Zhang</t>
  </si>
  <si>
    <t>Allison Medina</t>
  </si>
  <si>
    <t>E02914</t>
  </si>
  <si>
    <t>Maria Wilson</t>
  </si>
  <si>
    <t>Everly Coleman</t>
  </si>
  <si>
    <t>Jordan Gomez</t>
  </si>
  <si>
    <t>Isla Chavez</t>
  </si>
  <si>
    <t>Hannah Gomez</t>
  </si>
  <si>
    <t>E03630</t>
  </si>
  <si>
    <t>Jacob Davis</t>
  </si>
  <si>
    <t>Eli Gupta</t>
  </si>
  <si>
    <t>E03045</t>
  </si>
  <si>
    <t>E01924</t>
  </si>
  <si>
    <t>Anna Gutierrez</t>
  </si>
  <si>
    <t>Samuel Vega</t>
  </si>
  <si>
    <t>Liliana Do</t>
  </si>
  <si>
    <t>E04590</t>
  </si>
  <si>
    <t>Isaac Sanders</t>
  </si>
  <si>
    <t>Genesis Xiong</t>
  </si>
  <si>
    <t>E04224</t>
  </si>
  <si>
    <t>Lucas Ramos</t>
  </si>
  <si>
    <t>E03423</t>
  </si>
  <si>
    <t>Santiago f Gonzalez</t>
  </si>
  <si>
    <t>Henry Zhu</t>
  </si>
  <si>
    <t>E00788</t>
  </si>
  <si>
    <t>Emily Contreras</t>
  </si>
  <si>
    <t>E00207</t>
  </si>
  <si>
    <t>Hailey Lai</t>
  </si>
  <si>
    <t>Vivian Guzman</t>
  </si>
  <si>
    <t>E04571</t>
  </si>
  <si>
    <t>Hadley Contreras</t>
  </si>
  <si>
    <t>E02652</t>
  </si>
  <si>
    <t>Nathan Sun</t>
  </si>
  <si>
    <t>E02693</t>
  </si>
  <si>
    <t>Grace Campos</t>
  </si>
  <si>
    <t>E03359</t>
  </si>
  <si>
    <t>Autumn Ortiz</t>
  </si>
  <si>
    <t>E00399</t>
  </si>
  <si>
    <t>Connor Walker</t>
  </si>
  <si>
    <t>E02971</t>
  </si>
  <si>
    <t>Mia Wu</t>
  </si>
  <si>
    <t>Julia Luong</t>
  </si>
  <si>
    <t>Eleanor Delgado</t>
  </si>
  <si>
    <t>Addison Roberts</t>
  </si>
  <si>
    <t>Camila Li</t>
  </si>
  <si>
    <t>E04729</t>
  </si>
  <si>
    <t>Ezekiel Fong</t>
  </si>
  <si>
    <t>E00360</t>
  </si>
  <si>
    <t>Dylan Thao</t>
  </si>
  <si>
    <t>E02284</t>
  </si>
  <si>
    <t>Josephine Salazar</t>
  </si>
  <si>
    <t>Genesis Hu</t>
  </si>
  <si>
    <t>E04168</t>
  </si>
  <si>
    <t>Mila Juarez</t>
  </si>
  <si>
    <t>Daniel Perry</t>
  </si>
  <si>
    <t>E01357</t>
  </si>
  <si>
    <t>Paisley Hunter</t>
  </si>
  <si>
    <t>Everleigh White</t>
  </si>
  <si>
    <t>E03090</t>
  </si>
  <si>
    <t>Penelope Choi</t>
  </si>
  <si>
    <t>E03591</t>
  </si>
  <si>
    <t>Piper Sun</t>
  </si>
  <si>
    <t>E03328</t>
  </si>
  <si>
    <t>Lucy Johnson</t>
  </si>
  <si>
    <t>E04937</t>
  </si>
  <si>
    <t>Ian Ngo</t>
  </si>
  <si>
    <t>E00515</t>
  </si>
  <si>
    <t>Joseph Vazquez</t>
  </si>
  <si>
    <t>Hadley Guerrero</t>
  </si>
  <si>
    <t>Jose Brown</t>
  </si>
  <si>
    <t>E01711</t>
  </si>
  <si>
    <t>Benjamin Ford</t>
  </si>
  <si>
    <t>E00500</t>
  </si>
  <si>
    <t>Henry Shah</t>
  </si>
  <si>
    <t>Ivy Daniels</t>
  </si>
  <si>
    <t>Thomas Chang</t>
  </si>
  <si>
    <t>Caroline Phan</t>
  </si>
  <si>
    <t>E02023</t>
  </si>
  <si>
    <t>Maverick Mehta</t>
  </si>
  <si>
    <t>E03166</t>
  </si>
  <si>
    <t>Austin Edwards</t>
  </si>
  <si>
    <t>E02599</t>
  </si>
  <si>
    <t>Daniel Huang</t>
  </si>
  <si>
    <t>E01014</t>
  </si>
  <si>
    <t>Lucas Phan</t>
  </si>
  <si>
    <t>E04529</t>
  </si>
  <si>
    <t>Gabriel Yu</t>
  </si>
  <si>
    <t>Mason Watson</t>
  </si>
  <si>
    <t>E00632</t>
  </si>
  <si>
    <t>Angel Chang</t>
  </si>
  <si>
    <t>E02108</t>
  </si>
  <si>
    <t>Madeline Coleman</t>
  </si>
  <si>
    <t>Thomas Vazquez</t>
  </si>
  <si>
    <t>E03685</t>
  </si>
  <si>
    <t>Silas Hunter</t>
  </si>
  <si>
    <t>E01089</t>
  </si>
  <si>
    <t>Nicholas Brooks</t>
  </si>
  <si>
    <t>E03988</t>
  </si>
  <si>
    <t>Dominic Thomas</t>
  </si>
  <si>
    <t>Ian Wu</t>
  </si>
  <si>
    <t>E02417</t>
  </si>
  <si>
    <t>Alice Young</t>
  </si>
  <si>
    <t>E00359</t>
  </si>
  <si>
    <t>Logan Carrillo</t>
  </si>
  <si>
    <t>Caroline Alexander</t>
  </si>
  <si>
    <t>E01479</t>
  </si>
  <si>
    <t>Serenity Bailey</t>
  </si>
  <si>
    <t>Elena Tan</t>
  </si>
  <si>
    <t>E02769</t>
  </si>
  <si>
    <t>Eliza Adams</t>
  </si>
  <si>
    <t>E03893</t>
  </si>
  <si>
    <t>Alice Xiong</t>
  </si>
  <si>
    <t>Isla Yoon</t>
  </si>
  <si>
    <t>E03540</t>
  </si>
  <si>
    <t>Emma Perry</t>
  </si>
  <si>
    <t>Riley Marquez</t>
  </si>
  <si>
    <t>Caroline Hu</t>
  </si>
  <si>
    <t>Madison Kumar</t>
  </si>
  <si>
    <t>Matthew Lim</t>
  </si>
  <si>
    <t>E01762</t>
  </si>
  <si>
    <t>Maya Ngo</t>
  </si>
  <si>
    <t>E02632</t>
  </si>
  <si>
    <t>E04226</t>
  </si>
  <si>
    <t>Andrew Moore</t>
  </si>
  <si>
    <t>E04101</t>
  </si>
  <si>
    <t>Olivia Harris</t>
  </si>
  <si>
    <t>Genesis Banks</t>
  </si>
  <si>
    <t>E02534</t>
  </si>
  <si>
    <t>Victoria Johnson</t>
  </si>
  <si>
    <t>E01238</t>
  </si>
  <si>
    <t>Eloise Griffin</t>
  </si>
  <si>
    <t>E01118</t>
  </si>
  <si>
    <t>Roman Yang</t>
  </si>
  <si>
    <t>E04041</t>
  </si>
  <si>
    <t>Clara Huynh</t>
  </si>
  <si>
    <t>Kai Flores</t>
  </si>
  <si>
    <t>E01052</t>
  </si>
  <si>
    <t>Jaxson Dinh</t>
  </si>
  <si>
    <t>E04165</t>
  </si>
  <si>
    <t>Sophie Vang</t>
  </si>
  <si>
    <t>E02295</t>
  </si>
  <si>
    <t>Axel Jordan</t>
  </si>
  <si>
    <t>E04546</t>
  </si>
  <si>
    <t>Jade Hunter</t>
  </si>
  <si>
    <t>Lydia Williams</t>
  </si>
  <si>
    <t>Emery Chang</t>
  </si>
  <si>
    <t>Savannah He</t>
  </si>
  <si>
    <t>E04645</t>
  </si>
  <si>
    <t>Elias Ahmed</t>
  </si>
  <si>
    <t>E03880</t>
  </si>
  <si>
    <t>Samantha Woods</t>
  </si>
  <si>
    <t>E02730</t>
  </si>
  <si>
    <t>Amelia Choi</t>
  </si>
  <si>
    <t>E00965</t>
  </si>
  <si>
    <t>Jacob Khan</t>
  </si>
  <si>
    <t>E04639</t>
  </si>
  <si>
    <t>Luna Taylor</t>
  </si>
  <si>
    <t>E00465</t>
  </si>
  <si>
    <t>Dominic Parker</t>
  </si>
  <si>
    <t>E03058</t>
  </si>
  <si>
    <t>Angel Xiong</t>
  </si>
  <si>
    <t>E02337</t>
  </si>
  <si>
    <t>Emma Cao</t>
  </si>
  <si>
    <t>E04927</t>
  </si>
  <si>
    <t>Ezekiel Bryant</t>
  </si>
  <si>
    <t>Natalie Hwang</t>
  </si>
  <si>
    <t>E04538</t>
  </si>
  <si>
    <t>Adeline Yang</t>
  </si>
  <si>
    <t>E02633</t>
  </si>
  <si>
    <t>Allison Roberts</t>
  </si>
  <si>
    <t>E02965</t>
  </si>
  <si>
    <t>Andrew Do</t>
  </si>
  <si>
    <t>Eliana Grant</t>
  </si>
  <si>
    <t>E02895</t>
  </si>
  <si>
    <t>Mila Soto</t>
  </si>
  <si>
    <t>Gabriella Johnson</t>
  </si>
  <si>
    <t>E00758</t>
  </si>
  <si>
    <t>Jonathan Khan</t>
  </si>
  <si>
    <t>Elias Dang</t>
  </si>
  <si>
    <t>E02943</t>
  </si>
  <si>
    <t>Bella Lopez</t>
  </si>
  <si>
    <t>Luca Truong</t>
  </si>
  <si>
    <t>E03461</t>
  </si>
  <si>
    <t>Nathan Lau</t>
  </si>
  <si>
    <t>E03490</t>
  </si>
  <si>
    <t>Henry Campos</t>
  </si>
  <si>
    <t>E04466</t>
  </si>
  <si>
    <t>Connor Bell</t>
  </si>
  <si>
    <t>E03226</t>
  </si>
  <si>
    <t>Angel Stewart</t>
  </si>
  <si>
    <t>Landon Brown</t>
  </si>
  <si>
    <t>E02678</t>
  </si>
  <si>
    <t>Nicholas Rivera</t>
  </si>
  <si>
    <t>Gabriel Carter</t>
  </si>
  <si>
    <t>E00747</t>
  </si>
  <si>
    <t>Leilani Baker</t>
  </si>
  <si>
    <t>Ian Flores</t>
  </si>
  <si>
    <t>E01416</t>
  </si>
  <si>
    <t>Hudson Thompson</t>
  </si>
  <si>
    <t>E01524</t>
  </si>
  <si>
    <t>Ian Miller</t>
  </si>
  <si>
    <t>Harper Chin</t>
  </si>
  <si>
    <t>E02801</t>
  </si>
  <si>
    <t>Santiago f Brooks</t>
  </si>
  <si>
    <t>E04155</t>
  </si>
  <si>
    <t>Dylan Dominguez</t>
  </si>
  <si>
    <t>Everett Lee</t>
  </si>
  <si>
    <t>Madelyn Mehta</t>
  </si>
  <si>
    <t>Athena Vasquez</t>
  </si>
  <si>
    <t>E00624</t>
  </si>
  <si>
    <t>William Watson</t>
  </si>
  <si>
    <t>Everleigh Nunez</t>
  </si>
  <si>
    <t>E01845</t>
  </si>
  <si>
    <t>Leo Fernandez</t>
  </si>
  <si>
    <t>Joshua Lin</t>
  </si>
  <si>
    <t>E00145</t>
  </si>
  <si>
    <t>Alexander Rivera</t>
  </si>
  <si>
    <t>David Desai</t>
  </si>
  <si>
    <t>Aubrey Yoon</t>
  </si>
  <si>
    <t>Grayson Brown</t>
  </si>
  <si>
    <t>Noah Chen</t>
  </si>
  <si>
    <t>E00784</t>
  </si>
  <si>
    <t>Ella Nguyen</t>
  </si>
  <si>
    <t>E04925</t>
  </si>
  <si>
    <t>Athena Jordan</t>
  </si>
  <si>
    <t>E04448</t>
  </si>
  <si>
    <t>Adrian Ruiz</t>
  </si>
  <si>
    <t>E04817</t>
  </si>
  <si>
    <t>Jameson Chen</t>
  </si>
  <si>
    <t>E00403</t>
  </si>
  <si>
    <t>Liliana Soto</t>
  </si>
  <si>
    <t>Lincoln Reyes</t>
  </si>
  <si>
    <t>E04358</t>
  </si>
  <si>
    <t>Grayson Soto</t>
  </si>
  <si>
    <t>E04662</t>
  </si>
  <si>
    <t>Julia Morris</t>
  </si>
  <si>
    <t>E01496</t>
  </si>
  <si>
    <t>Ava Ortiz</t>
  </si>
  <si>
    <t>E01870</t>
  </si>
  <si>
    <t>Carson Chau</t>
  </si>
  <si>
    <t>E03971</t>
  </si>
  <si>
    <t>Lillian Chen</t>
  </si>
  <si>
    <t>E03616</t>
  </si>
  <si>
    <t>Josiah Lewis</t>
  </si>
  <si>
    <t>E00153</t>
  </si>
  <si>
    <t>Claire Jones</t>
  </si>
  <si>
    <t>Nova Hill</t>
  </si>
  <si>
    <t>E00096</t>
  </si>
  <si>
    <t>Peyton Cruz</t>
  </si>
  <si>
    <t>E02140</t>
  </si>
  <si>
    <t>Naomi Zhao</t>
  </si>
  <si>
    <t>E00826</t>
  </si>
  <si>
    <t>E03881</t>
  </si>
  <si>
    <t>Andrew Reed</t>
  </si>
  <si>
    <t>Brooklyn Collins</t>
  </si>
  <si>
    <t>E02613</t>
  </si>
  <si>
    <t>John Jung</t>
  </si>
  <si>
    <t>E00864</t>
  </si>
  <si>
    <t>Samantha Aguilar</t>
  </si>
  <si>
    <t>E01760</t>
  </si>
  <si>
    <t>Madeline Acosta</t>
  </si>
  <si>
    <t>E03223</t>
  </si>
  <si>
    <t>Ethan Joseph</t>
  </si>
  <si>
    <t>E01262</t>
  </si>
  <si>
    <t>E01075</t>
  </si>
  <si>
    <t>Joshua Juarez</t>
  </si>
  <si>
    <t>E00364</t>
  </si>
  <si>
    <t>Matthew Howard</t>
  </si>
  <si>
    <t>E04108</t>
  </si>
  <si>
    <t>Jade Figueroa</t>
  </si>
  <si>
    <t>E02917</t>
  </si>
  <si>
    <t>Everett Morales</t>
  </si>
  <si>
    <t>Genesis Hunter</t>
  </si>
  <si>
    <t>E03393</t>
  </si>
  <si>
    <t>Henry Figueroa</t>
  </si>
  <si>
    <t>E02977</t>
  </si>
  <si>
    <t>Nicholas Song</t>
  </si>
  <si>
    <t>E03371</t>
  </si>
  <si>
    <t>Jack Alexander</t>
  </si>
  <si>
    <t>E02531</t>
  </si>
  <si>
    <t>Jameson Foster</t>
  </si>
  <si>
    <t>Leonardo Lo</t>
  </si>
  <si>
    <t>Ella Huang</t>
  </si>
  <si>
    <t>Liam Jordan</t>
  </si>
  <si>
    <t>E03697</t>
  </si>
  <si>
    <t>Isaac Woods</t>
  </si>
  <si>
    <t>E00593</t>
  </si>
  <si>
    <t>Luke Wilson</t>
  </si>
  <si>
    <t>Lyla Alvarez</t>
  </si>
  <si>
    <t>E03889</t>
  </si>
  <si>
    <t>Caleb Flores</t>
  </si>
  <si>
    <t>E01958</t>
  </si>
  <si>
    <t>Angel Lin</t>
  </si>
  <si>
    <t>Easton Moore</t>
  </si>
  <si>
    <t>E01167</t>
  </si>
  <si>
    <t>Kinsley Collins</t>
  </si>
  <si>
    <t>E00099</t>
  </si>
  <si>
    <t>Brooklyn Salazar</t>
  </si>
  <si>
    <t>Scarlett Jenkins</t>
  </si>
  <si>
    <t>E00711</t>
  </si>
  <si>
    <t>Melody Chin</t>
  </si>
  <si>
    <t>E04795</t>
  </si>
  <si>
    <t>Eloise Alexander</t>
  </si>
  <si>
    <t>E03912</t>
  </si>
  <si>
    <t>Carter Turner</t>
  </si>
  <si>
    <t>Andrew Ma</t>
  </si>
  <si>
    <t>Hailey Xi</t>
  </si>
  <si>
    <t>E04756</t>
  </si>
  <si>
    <t>Aiden Le</t>
  </si>
  <si>
    <t>E04114</t>
  </si>
  <si>
    <t>James Castillo</t>
  </si>
  <si>
    <t>Greyson Dang</t>
  </si>
  <si>
    <t>Wesley Dominguez</t>
  </si>
  <si>
    <t>E04403</t>
  </si>
  <si>
    <t>Dominic Hu</t>
  </si>
  <si>
    <t>E00103</t>
  </si>
  <si>
    <t>Nora Park</t>
  </si>
  <si>
    <t>Audrey Hwang</t>
  </si>
  <si>
    <t>Ella Jenkins</t>
  </si>
  <si>
    <t>E02179</t>
  </si>
  <si>
    <t>Peyton Owens</t>
  </si>
  <si>
    <t>E04242</t>
  </si>
  <si>
    <t>Alice Lopez</t>
  </si>
  <si>
    <t>Dominic Le</t>
  </si>
  <si>
    <t>E03065</t>
  </si>
  <si>
    <t>Ezra Ortiz</t>
  </si>
  <si>
    <t>E01377</t>
  </si>
  <si>
    <t>Grayson Luu</t>
  </si>
  <si>
    <t>Brooks Stewart</t>
  </si>
  <si>
    <t>E01668</t>
  </si>
  <si>
    <t>Naomi Xi</t>
  </si>
  <si>
    <t>Silas Estrada</t>
  </si>
  <si>
    <t>Skylar Ayala</t>
  </si>
  <si>
    <t>Lydia Huynh</t>
  </si>
  <si>
    <t>Hazel Cortez</t>
  </si>
  <si>
    <t>Everleigh Adams</t>
  </si>
  <si>
    <t>Layla Salazar</t>
  </si>
  <si>
    <t>E03113</t>
  </si>
  <si>
    <t>Willow Chen</t>
  </si>
  <si>
    <t>E01488</t>
  </si>
  <si>
    <t>Penelope Griffin</t>
  </si>
  <si>
    <t>Lillian Romero</t>
  </si>
  <si>
    <t>Stella Wu</t>
  </si>
  <si>
    <t>Parker Vang</t>
  </si>
  <si>
    <t>Mila Roberts</t>
  </si>
  <si>
    <t>Isaac Liu</t>
  </si>
  <si>
    <t>Jacob Doan</t>
  </si>
  <si>
    <t>Raelynn Ma</t>
  </si>
  <si>
    <t>E03114</t>
  </si>
  <si>
    <t>Jameson Juarez</t>
  </si>
  <si>
    <t>E04004</t>
  </si>
  <si>
    <t>Everleigh Shah</t>
  </si>
  <si>
    <t>E04472</t>
  </si>
  <si>
    <t>Alexander Foster</t>
  </si>
  <si>
    <t>E00161</t>
  </si>
  <si>
    <t>Ryan Ha</t>
  </si>
  <si>
    <t>E04417</t>
  </si>
  <si>
    <t>Chloe Salazar</t>
  </si>
  <si>
    <t>Layla Scott</t>
  </si>
  <si>
    <t>Leah Khan</t>
  </si>
  <si>
    <t>E02857</t>
  </si>
  <si>
    <t>Mason Jimenez</t>
  </si>
  <si>
    <t>E03059</t>
  </si>
  <si>
    <t>E02477</t>
  </si>
  <si>
    <t>Amelia Bui</t>
  </si>
  <si>
    <t>E00022</t>
  </si>
  <si>
    <t>Elena Her</t>
  </si>
  <si>
    <t>E03370</t>
  </si>
  <si>
    <t>Ian Cortez</t>
  </si>
  <si>
    <t>Christian Ali</t>
  </si>
  <si>
    <t>E03160</t>
  </si>
  <si>
    <t>E03919</t>
  </si>
  <si>
    <t>Grayson Chan</t>
  </si>
  <si>
    <t>E01724</t>
  </si>
  <si>
    <t>Nolan Molina</t>
  </si>
  <si>
    <t>E04087</t>
  </si>
  <si>
    <t>Adam Kaur</t>
  </si>
  <si>
    <t>Amelia Kaur</t>
  </si>
  <si>
    <t>E03805</t>
  </si>
  <si>
    <t>Autumn Gonzales</t>
  </si>
  <si>
    <t>E00319</t>
  </si>
  <si>
    <t>Ezra Wilson</t>
  </si>
  <si>
    <t>E01090</t>
  </si>
  <si>
    <t>Jacob Cheng</t>
  </si>
  <si>
    <t>E04323</t>
  </si>
  <si>
    <t>Melody Valdez</t>
  </si>
  <si>
    <t>E02687</t>
  </si>
  <si>
    <t>Caroline Nelson</t>
  </si>
  <si>
    <t>E01407</t>
  </si>
  <si>
    <t>Ellie Guerrero</t>
  </si>
  <si>
    <t>E02748</t>
  </si>
  <si>
    <t>Genesis Zhu</t>
  </si>
  <si>
    <t>E01995</t>
  </si>
  <si>
    <t>Jonathan Ho</t>
  </si>
  <si>
    <t>E01714</t>
  </si>
  <si>
    <t>Savannah Park</t>
  </si>
  <si>
    <t>E04491</t>
  </si>
  <si>
    <t>Nathan Chan</t>
  </si>
  <si>
    <t>E01076</t>
  </si>
  <si>
    <t>Sofia Vu</t>
  </si>
  <si>
    <t>Ruby Choi</t>
  </si>
  <si>
    <t>E02843</t>
  </si>
  <si>
    <t>Lily Pena</t>
  </si>
  <si>
    <t>E03758</t>
  </si>
  <si>
    <t>Liam Zhang</t>
  </si>
  <si>
    <t>E02063</t>
  </si>
  <si>
    <t>Ian Gutierrez</t>
  </si>
  <si>
    <t>E00638</t>
  </si>
  <si>
    <t>David Simmons</t>
  </si>
  <si>
    <t>E03571</t>
  </si>
  <si>
    <t>E01820</t>
  </si>
  <si>
    <t>Nathan Miller</t>
  </si>
  <si>
    <t>James Singh</t>
  </si>
  <si>
    <t>E00184</t>
  </si>
  <si>
    <t>Kayden Ortega</t>
  </si>
  <si>
    <t>Lucy Figueroa</t>
  </si>
  <si>
    <t>E02899</t>
  </si>
  <si>
    <t>Joshua Cortez</t>
  </si>
  <si>
    <t>E02478</t>
  </si>
  <si>
    <t>Alexander Morris</t>
  </si>
  <si>
    <t>E04170</t>
  </si>
  <si>
    <t>Grayson Chin</t>
  </si>
  <si>
    <t>Allison Espinoza</t>
  </si>
  <si>
    <t>Naomi Chu</t>
  </si>
  <si>
    <t>Jameson Martin</t>
  </si>
  <si>
    <t>E02492</t>
  </si>
  <si>
    <t>Sebastian Gupta</t>
  </si>
  <si>
    <t>E01733</t>
  </si>
  <si>
    <t>Eloise Pham</t>
  </si>
  <si>
    <t>Valentina Davis</t>
  </si>
  <si>
    <t>E04938</t>
  </si>
  <si>
    <t>E04952</t>
  </si>
  <si>
    <t>Paisley Gomez</t>
  </si>
  <si>
    <t>Madison Li</t>
  </si>
  <si>
    <t>Everleigh Simmons</t>
  </si>
  <si>
    <t>E03947</t>
  </si>
  <si>
    <t>Logan Soto</t>
  </si>
  <si>
    <t>E04535</t>
  </si>
  <si>
    <t>Charlotte Vo</t>
  </si>
  <si>
    <t>Alice Thompson</t>
  </si>
  <si>
    <t>E01432</t>
  </si>
  <si>
    <t>Peyton Garza</t>
  </si>
  <si>
    <t>Nora Nelson</t>
  </si>
  <si>
    <t>E03578</t>
  </si>
  <si>
    <t>Maverick Li</t>
  </si>
  <si>
    <t>E03563</t>
  </si>
  <si>
    <t>Ian Barnes</t>
  </si>
  <si>
    <t>E02781</t>
  </si>
  <si>
    <t>Athena Vu</t>
  </si>
  <si>
    <t>E04739</t>
  </si>
  <si>
    <t>Ruby Washington</t>
  </si>
  <si>
    <t>E02665</t>
  </si>
  <si>
    <t>Bella Butler</t>
  </si>
  <si>
    <t>E04132</t>
  </si>
  <si>
    <t>Kinsley Henry</t>
  </si>
  <si>
    <t>Kennedy Romero</t>
  </si>
  <si>
    <t>E04277</t>
  </si>
  <si>
    <t>Zoe Do</t>
  </si>
  <si>
    <t>Everett Khan</t>
  </si>
  <si>
    <t>E02012</t>
  </si>
  <si>
    <t>Anna Han</t>
  </si>
  <si>
    <t>E02881</t>
  </si>
  <si>
    <t>Leilani Sharma</t>
  </si>
  <si>
    <t>Jordan Cho</t>
  </si>
  <si>
    <t>E00605</t>
  </si>
  <si>
    <t>Nova Williams</t>
  </si>
  <si>
    <t>E04641</t>
  </si>
  <si>
    <t>Scarlett Hill</t>
  </si>
  <si>
    <t>E01019</t>
  </si>
  <si>
    <t>Dominic Scott</t>
  </si>
  <si>
    <t>E01519</t>
  </si>
  <si>
    <t>Anthony Marquez</t>
  </si>
  <si>
    <t>Elena Patterson</t>
  </si>
  <si>
    <t>Madison Nelson</t>
  </si>
  <si>
    <t>E01366</t>
  </si>
  <si>
    <t>William Walker</t>
  </si>
  <si>
    <t>E04005</t>
  </si>
  <si>
    <t>Lincoln Wong</t>
  </si>
  <si>
    <t>James Huang</t>
  </si>
  <si>
    <t>Emery Ford</t>
  </si>
  <si>
    <t>E01591</t>
  </si>
  <si>
    <t>Paisley Trinh</t>
  </si>
  <si>
    <t>Hudson Williams</t>
  </si>
  <si>
    <t>Harper Phan</t>
  </si>
  <si>
    <t>Madeline Allen</t>
  </si>
  <si>
    <t>Charles Moore</t>
  </si>
  <si>
    <t>E03064</t>
  </si>
  <si>
    <t>Lincoln Fong</t>
  </si>
  <si>
    <t>Isla Guzman</t>
  </si>
  <si>
    <t>Hailey Foster</t>
  </si>
  <si>
    <t>E00446</t>
  </si>
  <si>
    <t>Hudson Hill</t>
  </si>
  <si>
    <t>Wyatt Li</t>
  </si>
  <si>
    <t>E04174</t>
  </si>
  <si>
    <t>Maverick Henry</t>
  </si>
  <si>
    <t>E01899</t>
  </si>
  <si>
    <t>Xavier Jackson</t>
  </si>
  <si>
    <t>E02562</t>
  </si>
  <si>
    <t>Christian Medina</t>
  </si>
  <si>
    <t>Autumn Leung</t>
  </si>
  <si>
    <t>Robert Vazquez</t>
  </si>
  <si>
    <t>E03642</t>
  </si>
  <si>
    <t>Aria Roberts</t>
  </si>
  <si>
    <t>E02884</t>
  </si>
  <si>
    <t>Axel Johnson</t>
  </si>
  <si>
    <t>Madeline Garcia</t>
  </si>
  <si>
    <t>E04720</t>
  </si>
  <si>
    <t>Christopher Chung</t>
  </si>
  <si>
    <t>Eliana Turner</t>
  </si>
  <si>
    <t>E03273</t>
  </si>
  <si>
    <t>Daniel Shah</t>
  </si>
  <si>
    <t>Penelope Gonzalez</t>
  </si>
  <si>
    <t>Mila Allen</t>
  </si>
  <si>
    <t>Emilia Chu</t>
  </si>
  <si>
    <t>E02563</t>
  </si>
  <si>
    <t>Emily Clark</t>
  </si>
  <si>
    <t>E04221</t>
  </si>
  <si>
    <t>Roman King</t>
  </si>
  <si>
    <t>E04887</t>
  </si>
  <si>
    <t>Emery Do</t>
  </si>
  <si>
    <t>Autumn Thao</t>
  </si>
  <si>
    <t>E01636</t>
  </si>
  <si>
    <t>Naomi Coleman</t>
  </si>
  <si>
    <t>E01387</t>
  </si>
  <si>
    <t>Cora Zheng</t>
  </si>
  <si>
    <t>E01363</t>
  </si>
  <si>
    <t>Ayla Daniels</t>
  </si>
  <si>
    <t>E02249</t>
  </si>
  <si>
    <t>Allison Daniels</t>
  </si>
  <si>
    <t>E02987</t>
  </si>
  <si>
    <t>Mateo Harris</t>
  </si>
  <si>
    <t>E03655</t>
  </si>
  <si>
    <t>Julian Lee</t>
  </si>
  <si>
    <t>E03626</t>
  </si>
  <si>
    <t>Nicholas Avila</t>
  </si>
  <si>
    <t>Hailey Watson</t>
  </si>
  <si>
    <t>E02920</t>
  </si>
  <si>
    <t>Willow Woods</t>
  </si>
  <si>
    <t>E03220</t>
  </si>
  <si>
    <t>Alexander Gonzales</t>
  </si>
  <si>
    <t>E01347</t>
  </si>
  <si>
    <t>Aiden Gonzales</t>
  </si>
  <si>
    <t>E03968</t>
  </si>
  <si>
    <t>Joshua Chin</t>
  </si>
  <si>
    <t>Paisley Hall</t>
  </si>
  <si>
    <t>E01150</t>
  </si>
  <si>
    <t>Hannah Mejia</t>
  </si>
  <si>
    <t>Elizabeth Huang</t>
  </si>
  <si>
    <t>E01877</t>
  </si>
  <si>
    <t>Abigail Garza</t>
  </si>
  <si>
    <t>E01193</t>
  </si>
  <si>
    <t>Raelynn Lu</t>
  </si>
  <si>
    <t>Charles Luu</t>
  </si>
  <si>
    <t>Lydia Espinoza</t>
  </si>
  <si>
    <t>Adeline Thao</t>
  </si>
  <si>
    <t>Kinsley Dixon</t>
  </si>
  <si>
    <t>E04150</t>
  </si>
  <si>
    <t>Natalia Vu</t>
  </si>
  <si>
    <t>E02846</t>
  </si>
  <si>
    <t>Julia Mai</t>
  </si>
  <si>
    <t>E04247</t>
  </si>
  <si>
    <t>Everly Lai</t>
  </si>
  <si>
    <t>Adam He</t>
  </si>
  <si>
    <t>E03648</t>
  </si>
  <si>
    <t>Vivian Hunter</t>
  </si>
  <si>
    <t>E02192</t>
  </si>
  <si>
    <t>Eliana Li</t>
  </si>
  <si>
    <t>E03262</t>
  </si>
  <si>
    <t>Logan Mitchell</t>
  </si>
  <si>
    <t>E02716</t>
  </si>
  <si>
    <t>Dominic Dinh</t>
  </si>
  <si>
    <t>Lucas Daniels</t>
  </si>
  <si>
    <t>Andrew Holmes</t>
  </si>
  <si>
    <t>E03471</t>
  </si>
  <si>
    <t>E00717</t>
  </si>
  <si>
    <t>Kennedy Vargas</t>
  </si>
  <si>
    <t>E01966</t>
  </si>
  <si>
    <t>Thomas Williams</t>
  </si>
  <si>
    <t>E03683</t>
  </si>
  <si>
    <t>Raelynn Hong</t>
  </si>
  <si>
    <t>Eli Reed</t>
  </si>
  <si>
    <t>E04766</t>
  </si>
  <si>
    <t>Lyla Yoon</t>
  </si>
  <si>
    <t>Hannah White</t>
  </si>
  <si>
    <t>Theodore Xi</t>
  </si>
  <si>
    <t>E04088</t>
  </si>
  <si>
    <t>Ezra Liang</t>
  </si>
  <si>
    <t>E02066</t>
  </si>
  <si>
    <t>Grayson Yee</t>
  </si>
  <si>
    <t>Eli Richardson</t>
  </si>
  <si>
    <t>E03364</t>
  </si>
  <si>
    <t>Audrey Lee</t>
  </si>
  <si>
    <t>Jameson Allen</t>
  </si>
  <si>
    <t>Eliza Chen</t>
  </si>
  <si>
    <t>E03681</t>
  </si>
  <si>
    <t>Lyla Chen</t>
  </si>
  <si>
    <t>E02298</t>
  </si>
  <si>
    <t>Emily Doan</t>
  </si>
  <si>
    <t>Jack Mai</t>
  </si>
  <si>
    <t>E02440</t>
  </si>
  <si>
    <t>Grayson Turner</t>
  </si>
  <si>
    <t>E04699</t>
  </si>
  <si>
    <t>Ivy Tang</t>
  </si>
  <si>
    <t>Robert Zhang</t>
  </si>
  <si>
    <t>E01649</t>
  </si>
  <si>
    <t>Eva Alvarado</t>
  </si>
  <si>
    <t>Abigail Vang</t>
  </si>
  <si>
    <t>Claire Adams</t>
  </si>
  <si>
    <t>E00955</t>
  </si>
  <si>
    <t>Theodore Marquez</t>
  </si>
  <si>
    <t>Hunter Nunez</t>
  </si>
  <si>
    <t>E02798</t>
  </si>
  <si>
    <t>Charles Henderson</t>
  </si>
  <si>
    <t>Camila Cortez</t>
  </si>
  <si>
    <t>E02818</t>
  </si>
  <si>
    <t>Aaron Garza</t>
  </si>
  <si>
    <t>E02907</t>
  </si>
  <si>
    <t>Jose Singh</t>
  </si>
  <si>
    <t>Gabriel Joseph</t>
  </si>
  <si>
    <t>E02391</t>
  </si>
  <si>
    <t>Natalia Santos</t>
  </si>
  <si>
    <t>E01429</t>
  </si>
  <si>
    <t>Dylan Wilson</t>
  </si>
  <si>
    <t>E00494</t>
  </si>
  <si>
    <t>Robert Alvarez</t>
  </si>
  <si>
    <t>E00634</t>
  </si>
  <si>
    <t>Samantha Chavez</t>
  </si>
  <si>
    <t>Samuel Bailey</t>
  </si>
  <si>
    <t>E04683</t>
  </si>
  <si>
    <t>Ezekiel Delgado</t>
  </si>
  <si>
    <t>Benjamin Ramirez</t>
  </si>
  <si>
    <t>E03834</t>
  </si>
  <si>
    <t>Anthony Carter</t>
  </si>
  <si>
    <t>Ethan Tang</t>
  </si>
  <si>
    <t>Sebastian Rogers</t>
  </si>
  <si>
    <t>Miles Thao</t>
  </si>
  <si>
    <t>E04157</t>
  </si>
  <si>
    <t>William Cao</t>
  </si>
  <si>
    <t>E03528</t>
  </si>
  <si>
    <t>Leo Hsu</t>
  </si>
  <si>
    <t>E04547</t>
  </si>
  <si>
    <t>Avery Grant</t>
  </si>
  <si>
    <t>E04415</t>
  </si>
  <si>
    <t>Penelope Fong</t>
  </si>
  <si>
    <t>Vivian Thao</t>
  </si>
  <si>
    <t>E02800</t>
  </si>
  <si>
    <t>Eva Estrada</t>
  </si>
  <si>
    <t>Emma Luna</t>
  </si>
  <si>
    <t>E01268</t>
  </si>
  <si>
    <t>Charlotte Wu</t>
  </si>
  <si>
    <t>Vivian Chu</t>
  </si>
  <si>
    <t>E01209</t>
  </si>
  <si>
    <t>Jayden Williams</t>
  </si>
  <si>
    <t>E02024</t>
  </si>
  <si>
    <t>Amelia Bell</t>
  </si>
  <si>
    <t>E02427</t>
  </si>
  <si>
    <t>Addison Mehta</t>
  </si>
  <si>
    <t>Alexander Jackson</t>
  </si>
  <si>
    <t>E00951</t>
  </si>
  <si>
    <t>E03248</t>
  </si>
  <si>
    <t>Lyla Stewart</t>
  </si>
  <si>
    <t>E04444</t>
  </si>
  <si>
    <t>Skylar Evans</t>
  </si>
  <si>
    <t>Lincoln Huynh</t>
  </si>
  <si>
    <t>E02276</t>
  </si>
  <si>
    <t>Hazel Griffin</t>
  </si>
  <si>
    <t>E02649</t>
  </si>
  <si>
    <t>Charles Gonzalez</t>
  </si>
  <si>
    <t>E00503</t>
  </si>
  <si>
    <t>Leah Patterson</t>
  </si>
  <si>
    <t>E01706</t>
  </si>
  <si>
    <t>Avery Sun</t>
  </si>
  <si>
    <t>E00676</t>
  </si>
  <si>
    <t>Isaac Yoon</t>
  </si>
  <si>
    <t>E02005</t>
  </si>
  <si>
    <t>Isabella Bui</t>
  </si>
  <si>
    <t>E01895</t>
  </si>
  <si>
    <t>Gabriel Zhou</t>
  </si>
  <si>
    <t>E01396</t>
  </si>
  <si>
    <t>Jack Vu</t>
  </si>
  <si>
    <t>E00749</t>
  </si>
  <si>
    <t>Valentina Moua</t>
  </si>
  <si>
    <t>E01941</t>
  </si>
  <si>
    <t>Quinn Trinh</t>
  </si>
  <si>
    <t>E01413</t>
  </si>
  <si>
    <t>Miles Dang</t>
  </si>
  <si>
    <t>Leah Bryant</t>
  </si>
  <si>
    <t>Henry Jung</t>
  </si>
  <si>
    <t>Benjamin Mai</t>
  </si>
  <si>
    <t>E00608</t>
  </si>
  <si>
    <t>E04189</t>
  </si>
  <si>
    <t>Ariana Kim</t>
  </si>
  <si>
    <t>E02732</t>
  </si>
  <si>
    <t>Alice Tran</t>
  </si>
  <si>
    <t>E00324</t>
  </si>
  <si>
    <t>E00518</t>
  </si>
  <si>
    <t>Lydia Morales</t>
  </si>
  <si>
    <t>Liam Sanders</t>
  </si>
  <si>
    <t>E04564</t>
  </si>
  <si>
    <t>Luke Sanchez</t>
  </si>
  <si>
    <t>Grace Sun</t>
  </si>
  <si>
    <t>E00412</t>
  </si>
  <si>
    <t>Ezra Banks</t>
  </si>
  <si>
    <t>E01844</t>
  </si>
  <si>
    <t>Jayden Kang</t>
  </si>
  <si>
    <t>E00667</t>
  </si>
  <si>
    <t>Skylar Shah</t>
  </si>
  <si>
    <t>Sebastian Le</t>
  </si>
  <si>
    <t>Luca Nelson</t>
  </si>
  <si>
    <t>Riley Ramirez</t>
  </si>
  <si>
    <t>E02720</t>
  </si>
  <si>
    <t>Jaxon Fong</t>
  </si>
  <si>
    <t>Kayden Jordan</t>
  </si>
  <si>
    <t>E01188</t>
  </si>
  <si>
    <t>Alexander James</t>
  </si>
  <si>
    <t>E02428</t>
  </si>
  <si>
    <t>Connor Luu</t>
  </si>
  <si>
    <t>E03289</t>
  </si>
  <si>
    <t>Christopher Lam</t>
  </si>
  <si>
    <t>Sophie Owens</t>
  </si>
  <si>
    <t>Addison Perez</t>
  </si>
  <si>
    <t>E04249</t>
  </si>
  <si>
    <t>Hadley Dang</t>
  </si>
  <si>
    <t>Ethan Mehta</t>
  </si>
  <si>
    <t>Madison Her</t>
  </si>
  <si>
    <t>E04363</t>
  </si>
  <si>
    <t>Savannah Singh</t>
  </si>
  <si>
    <t>Nevaeh Hsu</t>
  </si>
  <si>
    <t>E03866</t>
  </si>
  <si>
    <t>Jordan Zhu</t>
  </si>
  <si>
    <t>Jackson Navarro</t>
  </si>
  <si>
    <t>E04095</t>
  </si>
  <si>
    <t>Sadie Patterson</t>
  </si>
  <si>
    <t>E04079</t>
  </si>
  <si>
    <t>Christopher Butler</t>
  </si>
  <si>
    <t>E01508</t>
  </si>
  <si>
    <t>Penelope Rodriguez</t>
  </si>
  <si>
    <t>E02259</t>
  </si>
  <si>
    <t>Emily Lau</t>
  </si>
  <si>
    <t>Sophie Oh</t>
  </si>
  <si>
    <t>E01834</t>
  </si>
  <si>
    <t>Chloe Allen</t>
  </si>
  <si>
    <t>E03124</t>
  </si>
  <si>
    <t>Caleb Nelson</t>
  </si>
  <si>
    <t>Oliver Moua</t>
  </si>
  <si>
    <t>Wesley Doan</t>
  </si>
  <si>
    <t>E03910</t>
  </si>
  <si>
    <t>Nova Hsu</t>
  </si>
  <si>
    <t>Levi Moreno</t>
  </si>
  <si>
    <t>Gianna Ha</t>
  </si>
  <si>
    <t>E00035</t>
  </si>
  <si>
    <t>Lillian Gonzales</t>
  </si>
  <si>
    <t>Ezra Singh</t>
  </si>
  <si>
    <t>E01755</t>
  </si>
  <si>
    <t>Audrey Patel</t>
  </si>
  <si>
    <t>Brooklyn Cho</t>
  </si>
  <si>
    <t>Piper Ramos</t>
  </si>
  <si>
    <t>Eleanor Williams</t>
  </si>
  <si>
    <t>E00371</t>
  </si>
  <si>
    <t>Melody Grant</t>
  </si>
  <si>
    <t>E02992</t>
  </si>
  <si>
    <t>Paisley Sanders</t>
  </si>
  <si>
    <t>Santiago f Gray</t>
  </si>
  <si>
    <t>Josephine Richardson</t>
  </si>
  <si>
    <t>E03532</t>
  </si>
  <si>
    <t>Jaxson Santiago</t>
  </si>
  <si>
    <t>E00863</t>
  </si>
  <si>
    <t>Lincoln Ramos</t>
  </si>
  <si>
    <t>E03310</t>
  </si>
  <si>
    <t>Dylan Campbell</t>
  </si>
  <si>
    <t>Olivia Gray</t>
  </si>
  <si>
    <t>E01242</t>
  </si>
  <si>
    <t>Emery Doan</t>
  </si>
  <si>
    <t>E02535</t>
  </si>
  <si>
    <t>Caroline Perez</t>
  </si>
  <si>
    <t>E00369</t>
  </si>
  <si>
    <t>Genesis Woods</t>
  </si>
  <si>
    <t>E03332</t>
  </si>
  <si>
    <t>Ruby Sun</t>
  </si>
  <si>
    <t>E03278</t>
  </si>
  <si>
    <t>Nevaeh James</t>
  </si>
  <si>
    <t>Parker Sandoval</t>
  </si>
  <si>
    <t>E03055</t>
  </si>
  <si>
    <t>Austin Rojas</t>
  </si>
  <si>
    <t>E01943</t>
  </si>
  <si>
    <t>Vivian Espinoza</t>
  </si>
  <si>
    <t>Cooper Gupta</t>
  </si>
  <si>
    <t>E04637</t>
  </si>
  <si>
    <t>Samuel Song</t>
  </si>
  <si>
    <t>E03240</t>
  </si>
  <si>
    <t>Aiden Silva</t>
  </si>
  <si>
    <t>E00340</t>
  </si>
  <si>
    <t>Eliana Allen</t>
  </si>
  <si>
    <t>E04751</t>
  </si>
  <si>
    <t>Grayson James</t>
  </si>
  <si>
    <t>E04636</t>
  </si>
  <si>
    <t>Hailey Yee</t>
  </si>
  <si>
    <t>Ian Vargas</t>
  </si>
  <si>
    <t>John Trinh</t>
  </si>
  <si>
    <t>Sofia Trinh</t>
  </si>
  <si>
    <t>Santiago f Moua</t>
  </si>
  <si>
    <t>E03149</t>
  </si>
  <si>
    <t>Layla Collins</t>
  </si>
  <si>
    <t>E00952</t>
  </si>
  <si>
    <t>Jaxon Powell</t>
  </si>
  <si>
    <t>Naomi Washington</t>
  </si>
  <si>
    <t>Ryan Holmes</t>
  </si>
  <si>
    <t>E04994</t>
  </si>
  <si>
    <t>Bella Holmes</t>
  </si>
  <si>
    <t>E00447</t>
  </si>
  <si>
    <t>Hailey Sanchez</t>
  </si>
  <si>
    <t>Sofia Yoon</t>
  </si>
  <si>
    <t>E02035</t>
  </si>
  <si>
    <t>Eli Rahman</t>
  </si>
  <si>
    <t>Christopher Howard</t>
  </si>
  <si>
    <t>E03611</t>
  </si>
  <si>
    <t>Alice Mehta</t>
  </si>
  <si>
    <t>E04464</t>
  </si>
  <si>
    <t>Cooper Yoon</t>
  </si>
  <si>
    <t>E02135</t>
  </si>
  <si>
    <t>John Delgado</t>
  </si>
  <si>
    <t>E01684</t>
  </si>
  <si>
    <t>Jaxson Liang</t>
  </si>
  <si>
    <t>E02968</t>
  </si>
  <si>
    <t>Caroline Santos</t>
  </si>
  <si>
    <t>Lily Henderson</t>
  </si>
  <si>
    <t>E01108</t>
  </si>
  <si>
    <t>Hannah Martinez</t>
  </si>
  <si>
    <t>William Phillips</t>
  </si>
  <si>
    <t>E03519</t>
  </si>
  <si>
    <t>Eliza Zheng</t>
  </si>
  <si>
    <t>Joshua Yang</t>
  </si>
  <si>
    <t>E03795</t>
  </si>
  <si>
    <t>Hazel Young</t>
  </si>
  <si>
    <t>E00508</t>
  </si>
  <si>
    <t>Thomas Jung</t>
  </si>
  <si>
    <t>Xavier Perez</t>
  </si>
  <si>
    <t>E01582</t>
  </si>
  <si>
    <t>Elijah Coleman</t>
  </si>
  <si>
    <t>Clara Sanchez</t>
  </si>
  <si>
    <t>E04872</t>
  </si>
  <si>
    <t>Isaac Stewart</t>
  </si>
  <si>
    <t>E03159</t>
  </si>
  <si>
    <t>Claire Romero</t>
  </si>
  <si>
    <t>E01337</t>
  </si>
  <si>
    <t>Andrew Coleman</t>
  </si>
  <si>
    <t>E00102</t>
  </si>
  <si>
    <t>Riley Rojas</t>
  </si>
  <si>
    <t>E03637</t>
  </si>
  <si>
    <t>Landon Thao</t>
  </si>
  <si>
    <t>Hadley Ford</t>
  </si>
  <si>
    <t>Austin Brown</t>
  </si>
  <si>
    <t>Christian Fong</t>
  </si>
  <si>
    <t>Hazel Alvarez</t>
  </si>
  <si>
    <t>Isabella Bailey</t>
  </si>
  <si>
    <t>Hadley Yee</t>
  </si>
  <si>
    <t>E00203</t>
  </si>
  <si>
    <t>Julia Doan</t>
  </si>
  <si>
    <t>E00647</t>
  </si>
  <si>
    <t>Dylan Ali</t>
  </si>
  <si>
    <t>Eloise Trinh</t>
  </si>
  <si>
    <t>E02453</t>
  </si>
  <si>
    <t>Dylan Kumar</t>
  </si>
  <si>
    <t>Emily Gupta</t>
  </si>
  <si>
    <t>Silas Rivera</t>
  </si>
  <si>
    <t>E00459</t>
  </si>
  <si>
    <t>E03007</t>
  </si>
  <si>
    <t>Isaac Joseph</t>
  </si>
  <si>
    <t>Leilani Thao</t>
  </si>
  <si>
    <t>Madeline Watson</t>
  </si>
  <si>
    <t>Silas Huang</t>
  </si>
  <si>
    <t>Jeremiah Hernandez</t>
  </si>
  <si>
    <t>Jace Washington</t>
  </si>
  <si>
    <t>E03379</t>
  </si>
  <si>
    <t>Landon Kim</t>
  </si>
  <si>
    <t>E02153</t>
  </si>
  <si>
    <t>Peyton Vasquez</t>
  </si>
  <si>
    <t>E00994</t>
  </si>
  <si>
    <t>Charlotte Baker</t>
  </si>
  <si>
    <t>E00943</t>
  </si>
  <si>
    <t>Elena Mendoza</t>
  </si>
  <si>
    <t>E00869</t>
  </si>
  <si>
    <t>Nova Lin</t>
  </si>
  <si>
    <t>E03457</t>
  </si>
  <si>
    <t>Ivy Desai</t>
  </si>
  <si>
    <t>E02193</t>
  </si>
  <si>
    <t>Josephine Acosta</t>
  </si>
  <si>
    <t>E00577</t>
  </si>
  <si>
    <t>Nora Nunez</t>
  </si>
  <si>
    <t>E00538</t>
  </si>
  <si>
    <t>Caleb Xiong</t>
  </si>
  <si>
    <t>E01415</t>
  </si>
  <si>
    <t>Henry Green</t>
  </si>
  <si>
    <t>Madelyn Chan</t>
  </si>
  <si>
    <t>E00225</t>
  </si>
  <si>
    <t>Angel Delgado</t>
  </si>
  <si>
    <t>E02889</t>
  </si>
  <si>
    <t>Mia Herrera</t>
  </si>
  <si>
    <t>E04978</t>
  </si>
  <si>
    <t>Peyton Harris</t>
  </si>
  <si>
    <t>David Herrera</t>
  </si>
  <si>
    <t>E01652</t>
  </si>
  <si>
    <t>Avery Dominguez</t>
  </si>
  <si>
    <t>Grace Carter</t>
  </si>
  <si>
    <t>E04335</t>
  </si>
  <si>
    <t>Parker Allen</t>
  </si>
  <si>
    <t>E01300</t>
  </si>
  <si>
    <t>Sadie Lee</t>
  </si>
  <si>
    <t>E03102</t>
  </si>
  <si>
    <t>Cooper Valdez</t>
  </si>
  <si>
    <t>Sebastian Fong</t>
  </si>
  <si>
    <t>E02059</t>
  </si>
  <si>
    <t>Roman Munoz</t>
  </si>
  <si>
    <t>E03894</t>
  </si>
  <si>
    <t>Charlotte Chang</t>
  </si>
  <si>
    <t>E03106</t>
  </si>
  <si>
    <t>Xavier Davis</t>
  </si>
  <si>
    <t>E01350</t>
  </si>
  <si>
    <t>Natalie Carter</t>
  </si>
  <si>
    <t>E02900</t>
  </si>
  <si>
    <t>Elena Richardson</t>
  </si>
  <si>
    <t>E02202</t>
  </si>
  <si>
    <t>Emilia Bailey</t>
  </si>
  <si>
    <t>E02696</t>
  </si>
  <si>
    <t>Ryan Lu</t>
  </si>
  <si>
    <t>E01722</t>
  </si>
  <si>
    <t>Asher Huynh</t>
  </si>
  <si>
    <t>Kinsley Martinez</t>
  </si>
  <si>
    <t>E00640</t>
  </si>
  <si>
    <t>Paisley Bryant</t>
  </si>
  <si>
    <t>E02554</t>
  </si>
  <si>
    <t>Joshua Ramirez</t>
  </si>
  <si>
    <t>E03412</t>
  </si>
  <si>
    <t>Joshua Martin</t>
  </si>
  <si>
    <t>E00646</t>
  </si>
  <si>
    <t>Angel Do</t>
  </si>
  <si>
    <t>E03580</t>
  </si>
  <si>
    <t>Maverick Medina</t>
  </si>
  <si>
    <t>Isaac Han</t>
  </si>
  <si>
    <t>Eliza Liang</t>
  </si>
  <si>
    <t>Zoe Zhou</t>
  </si>
  <si>
    <t>E01749</t>
  </si>
  <si>
    <t>Nathan Lee</t>
  </si>
  <si>
    <t>E02888</t>
  </si>
  <si>
    <t>Elijah Ramos</t>
  </si>
  <si>
    <t>Jaxson Coleman</t>
  </si>
  <si>
    <t>Hailey Hong</t>
  </si>
  <si>
    <t>Gabriella Zhu</t>
  </si>
  <si>
    <t>E02684</t>
  </si>
  <si>
    <t>Aaron Maldonado</t>
  </si>
  <si>
    <t>E02561</t>
  </si>
  <si>
    <t>Samantha Vargas</t>
  </si>
  <si>
    <t>E03168</t>
  </si>
  <si>
    <t>Nora Le</t>
  </si>
  <si>
    <t>Alice Roberts</t>
  </si>
  <si>
    <t>E03691</t>
  </si>
  <si>
    <t>Colton Garcia</t>
  </si>
  <si>
    <t>Stella Lai</t>
  </si>
  <si>
    <t>Leonardo Luong</t>
  </si>
  <si>
    <t>E00282</t>
  </si>
  <si>
    <t>Jeremiah Castillo</t>
  </si>
  <si>
    <t>Cooper Jiang</t>
  </si>
  <si>
    <t>Penelope Silva</t>
  </si>
  <si>
    <t>E02558</t>
  </si>
  <si>
    <t>Jose Richardson</t>
  </si>
  <si>
    <t>E00956</t>
  </si>
  <si>
    <t>Eleanor Chau</t>
  </si>
  <si>
    <t>E03858</t>
  </si>
  <si>
    <t>John Cho</t>
  </si>
  <si>
    <t>E02221</t>
  </si>
  <si>
    <t>Julian Delgado</t>
  </si>
  <si>
    <t>E00126</t>
  </si>
  <si>
    <t>Isabella Scott</t>
  </si>
  <si>
    <t>E02627</t>
  </si>
  <si>
    <t>Parker Avila</t>
  </si>
  <si>
    <t>E03778</t>
  </si>
  <si>
    <t>Luke Vu</t>
  </si>
  <si>
    <t>E00481</t>
  </si>
  <si>
    <t>Jameson Nelson</t>
  </si>
  <si>
    <t>Adrian Fernandez</t>
  </si>
  <si>
    <t>E03902</t>
  </si>
  <si>
    <t>Madison Hunter</t>
  </si>
  <si>
    <t>E02310</t>
  </si>
  <si>
    <t>Jordan Phillips</t>
  </si>
  <si>
    <t>E02661</t>
  </si>
  <si>
    <t>Maya Chan</t>
  </si>
  <si>
    <t>Wesley King</t>
  </si>
  <si>
    <t>E00682</t>
  </si>
  <si>
    <t>Sofia Fernandez</t>
  </si>
  <si>
    <t>Maverick Figueroa</t>
  </si>
  <si>
    <t>E00785</t>
  </si>
  <si>
    <t>Hannah Hoang</t>
  </si>
  <si>
    <t>Violet Garcia</t>
  </si>
  <si>
    <t>Aaliyah Mai</t>
  </si>
  <si>
    <t>E02703</t>
  </si>
  <si>
    <t>Austin Vang</t>
  </si>
  <si>
    <t>E02191</t>
  </si>
  <si>
    <t>Maria Sun</t>
  </si>
  <si>
    <t>E00156</t>
  </si>
  <si>
    <t>Madelyn Scott</t>
  </si>
  <si>
    <t>Dylan Chin</t>
  </si>
  <si>
    <t>E04032</t>
  </si>
  <si>
    <t>Emery Zhang</t>
  </si>
  <si>
    <t>E00005</t>
  </si>
  <si>
    <t>Riley Washington</t>
  </si>
  <si>
    <t>E04354</t>
  </si>
  <si>
    <t>Raelynn Rios</t>
  </si>
  <si>
    <t>Anthony Hong</t>
  </si>
  <si>
    <t>E03430</t>
  </si>
  <si>
    <t>Leo Herrera</t>
  </si>
  <si>
    <t>Robert Wright</t>
  </si>
  <si>
    <t>E04762</t>
  </si>
  <si>
    <t>Audrey Richardson</t>
  </si>
  <si>
    <t>E01148</t>
  </si>
  <si>
    <t>Scarlett Kumar</t>
  </si>
  <si>
    <t>E03094</t>
  </si>
  <si>
    <t>Wesley Young</t>
  </si>
  <si>
    <t>E01909</t>
  </si>
  <si>
    <t>Lillian Khan</t>
  </si>
  <si>
    <t>E04398</t>
  </si>
  <si>
    <t>Oliver Yang</t>
  </si>
  <si>
    <t>E02521</t>
  </si>
  <si>
    <t>Lily Nguyen</t>
  </si>
  <si>
    <t>E03545</t>
  </si>
  <si>
    <t>Sofia Cheng</t>
  </si>
  <si>
    <t>Названия строк</t>
  </si>
  <si>
    <t>Общий итог</t>
  </si>
  <si>
    <t>Сумма по столбцу Annual Salary</t>
  </si>
  <si>
    <t>Число элементов в столбце EEID</t>
  </si>
  <si>
    <t>Максимум в столбце Bonus %</t>
  </si>
  <si>
    <t>Is Current Worker</t>
  </si>
  <si>
    <t>Without bonuces</t>
  </si>
  <si>
    <t xml:space="preserve"> &lt; 10 %</t>
  </si>
  <si>
    <t xml:space="preserve"> 10 - 20 %</t>
  </si>
  <si>
    <t>20 - 30 %</t>
  </si>
  <si>
    <t xml:space="preserve">30 - 40 % </t>
  </si>
  <si>
    <t xml:space="preserve">&gt; 40 % </t>
  </si>
  <si>
    <t xml:space="preserve"> Bonus %</t>
  </si>
  <si>
    <t>Среднее по столбцу Annual Salary</t>
  </si>
  <si>
    <t>1992</t>
  </si>
  <si>
    <t>1994</t>
  </si>
  <si>
    <t>1995</t>
  </si>
  <si>
    <t>1996</t>
  </si>
  <si>
    <t>1997</t>
  </si>
  <si>
    <t>1998</t>
  </si>
  <si>
    <t>1999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</si>
  <si>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</si>
  <si>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</si>
  <si>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</si>
  <si>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</si>
  <si>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</si>
  <si>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</si>
  <si>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</si>
  <si>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</si>
  <si>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</si>
  <si>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</si>
  <si>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</si>
  <si>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</si>
  <si>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</si>
  <si>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</si>
  <si>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</si>
  <si>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</si>
  <si>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</si>
  <si>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</si>
  <si>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</si>
  <si>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</si>
  <si>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</si>
  <si>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21.06.2023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</si>
</sst>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&quot;$&quot;#,##0_);\(&quot;$&quot;#,##0\);&quot;$&quot;0_)"/>
    <numFmt numFmtId="165" formatCode="#,##0%_);\(#,##0%\);0%_)"/>
    <numFmt numFmtId="166" formatCode="_-[$$-409]* #,##0_ ;_-[$$-409]* \-#,##0\ ;_-[$$-409]* &quot;-&quot;??_ ;_-@_ "/>
    <numFmt numFmtId="168" formatCode="[$$-409]#,##0"/>
  </numFmts>
  <fonts count="1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7"/>
      <color rgb="FF000000"/>
      <name val="Courier New"/>
      <family val="3"/>
      <charset val="204"/>
    </font>
    <font>
      <sz val="11"/>
      <color theme="1"/>
      <name val="Candara Light"/>
      <family val="2"/>
      <charset val="204"/>
    </font>
    <font>
      <sz val="12"/>
      <color theme="1"/>
      <name val="Candara Light"/>
      <family val="2"/>
      <charset val="204"/>
    </font>
    <font>
      <sz val="11"/>
      <color theme="1"/>
      <name val="Candara"/>
      <family val="2"/>
      <charset val="204"/>
    </font>
    <font>
      <sz val="11"/>
      <color theme="0"/>
      <name val="Calibri"/>
      <family val="2"/>
      <scheme val="minor"/>
    </font>
    <font>
      <b/>
      <sz val="11"/>
      <name val="Candara Light"/>
      <family val="2"/>
      <charset val="204"/>
    </font>
    <font>
      <sz val="14"/>
      <color rgb="FF000000"/>
      <name val="Candara Light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3DB182"/>
        <bgColor indexed="64"/>
      </patternFill>
    </fill>
    <fill>
      <patternFill patternType="solid">
        <fgColor rgb="FFFFDAB9"/>
        <bgColor indexed="64"/>
      </patternFill>
    </fill>
  </fills>
  <borders count="5">
    <border>
      <left/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/>
      <top/>
      <bottom/>
      <diagonal/>
    </border>
    <border>
      <left style="thin">
        <color theme="9"/>
      </left>
      <right style="medium">
        <color rgb="FFFFFFFF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1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14" fontId="1" fillId="2" borderId="3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pivotButton="1"/>
    <xf numFmtId="43" fontId="0" fillId="0" borderId="0" xfId="0" applyNumberFormat="1"/>
    <xf numFmtId="166" fontId="0" fillId="0" borderId="0" xfId="0" applyNumberFormat="1"/>
    <xf numFmtId="9" fontId="0" fillId="0" borderId="0" xfId="0" applyNumberFormat="1"/>
    <xf numFmtId="9" fontId="0" fillId="0" borderId="0" xfId="1" applyFont="1"/>
    <xf numFmtId="0" fontId="0" fillId="0" borderId="0" xfId="1" applyNumberFormat="1" applyFont="1"/>
    <xf numFmtId="0" fontId="4" fillId="0" borderId="0" xfId="0" applyFont="1"/>
    <xf numFmtId="0" fontId="5" fillId="0" borderId="0" xfId="0" applyFont="1"/>
    <xf numFmtId="0" fontId="6" fillId="3" borderId="0" xfId="0" applyFont="1" applyFill="1"/>
    <xf numFmtId="0" fontId="6" fillId="0" borderId="0" xfId="0" applyFont="1"/>
    <xf numFmtId="9" fontId="6" fillId="0" borderId="0" xfId="0" applyNumberFormat="1" applyFont="1"/>
    <xf numFmtId="1" fontId="0" fillId="0" borderId="0" xfId="0" applyNumberFormat="1"/>
    <xf numFmtId="0" fontId="7" fillId="0" borderId="0" xfId="0" applyFont="1"/>
    <xf numFmtId="0" fontId="8" fillId="0" borderId="0" xfId="0" applyFont="1"/>
    <xf numFmtId="0" fontId="9" fillId="3" borderId="4" xfId="0" applyFont="1" applyFill="1" applyBorder="1" applyAlignment="1">
      <alignment horizontal="left"/>
    </xf>
    <xf numFmtId="0" fontId="9" fillId="3" borderId="2" xfId="0" applyFont="1" applyFill="1" applyBorder="1" applyAlignment="1">
      <alignment horizontal="left"/>
    </xf>
    <xf numFmtId="14" fontId="9" fillId="3" borderId="3" xfId="0" applyNumberFormat="1" applyFont="1" applyFill="1" applyBorder="1" applyAlignment="1">
      <alignment horizontal="left"/>
    </xf>
    <xf numFmtId="9" fontId="5" fillId="0" borderId="0" xfId="1" applyFont="1"/>
    <xf numFmtId="14" fontId="5" fillId="0" borderId="0" xfId="0" applyNumberFormat="1" applyFont="1"/>
    <xf numFmtId="168" fontId="5" fillId="0" borderId="0" xfId="0" applyNumberFormat="1" applyFont="1"/>
    <xf numFmtId="168" fontId="0" fillId="0" borderId="0" xfId="0" applyNumberFormat="1"/>
    <xf numFmtId="14" fontId="5" fillId="0" borderId="0" xfId="0" applyNumberFormat="1" applyFont="1" applyAlignment="1">
      <alignment horizontal="right"/>
    </xf>
    <xf numFmtId="0" fontId="0" fillId="0" borderId="0" xfId="0" applyNumberFormat="1"/>
  </cellXfs>
  <cellStyles count="2">
    <cellStyle name="Обычный" xfId="0" builtinId="0"/>
    <cellStyle name="Процентный" xfId="1" builtinId="5"/>
  </cellStyles>
  <dxfs count="41"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  <numFmt numFmtId="19" formatCode="dd/mm/yyyy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numFmt numFmtId="19" formatCode="dd/mm/yyyy"/>
    </dxf>
    <dxf>
      <numFmt numFmtId="169" formatCode="m/d/yyyy"/>
    </dxf>
    <dxf>
      <numFmt numFmtId="165" formatCode="#,##0%_);\(#,##0%\);0%_)"/>
    </dxf>
    <dxf>
      <numFmt numFmtId="164" formatCode="&quot;$&quot;#,##0_);\(&quot;$&quot;#,##0\);&quot;$&quot;0_)"/>
    </dxf>
    <dxf>
      <numFmt numFmtId="16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3DB182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FFFFFF"/>
        </left>
        <right style="medium">
          <color rgb="FFFFFFFF"/>
        </right>
        <top/>
        <bottom/>
      </border>
    </dxf>
    <dxf>
      <numFmt numFmtId="0" formatCode="General"/>
    </dxf>
    <dxf>
      <numFmt numFmtId="166" formatCode="_-[$$-409]* #,##0_ ;_-[$$-409]* \-#,##0\ ;_-[$$-409]* &quot;-&quot;??_ ;_-@_ "/>
    </dxf>
    <dxf>
      <numFmt numFmtId="35" formatCode="_-* #,##0.00_-;\-* #,##0.00_-;_-* &quot;-&quot;??_-;_-@_-"/>
    </dxf>
    <dxf>
      <numFmt numFmtId="1" formatCode="0"/>
    </dxf>
    <dxf>
      <numFmt numFmtId="13" formatCode="0%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Candara Light"/>
        <charset val="204"/>
      </font>
    </dxf>
    <dxf>
      <font>
        <name val="Candara Light"/>
        <charset val="204"/>
      </font>
    </dxf>
    <dxf>
      <font>
        <name val="Candara Light"/>
        <charset val="204"/>
      </font>
    </dxf>
    <dxf>
      <font>
        <name val="Candara Light"/>
        <charset val="204"/>
      </font>
    </dxf>
    <dxf>
      <font>
        <name val="Candara Light"/>
        <charset val="204"/>
      </font>
    </dxf>
    <dxf>
      <fill>
        <patternFill patternType="solid">
          <bgColor rgb="FFFFDAB9"/>
        </patternFill>
      </fill>
    </dxf>
    <dxf>
      <fill>
        <patternFill patternType="solid">
          <bgColor rgb="FFFFDAB9"/>
        </patternFill>
      </fill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  <numFmt numFmtId="168" formatCode="[$$-409]#,##0"/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  <numFmt numFmtId="19" formatCode="dd/mm/yyyy"/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  <numFmt numFmtId="0" formatCode="General"/>
    </dxf>
    <dxf>
      <border outline="0">
        <top style="thin">
          <color theme="9"/>
        </top>
      </border>
    </dxf>
    <dxf>
      <font>
        <strike val="0"/>
        <outline val="0"/>
        <shadow val="0"/>
        <u val="none"/>
        <vertAlign val="baseline"/>
        <sz val="11"/>
        <name val="Candara Light"/>
        <family val="2"/>
        <charset val="204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ndara Light"/>
        <family val="2"/>
        <charset val="204"/>
        <scheme val="none"/>
      </font>
      <fill>
        <patternFill patternType="solid">
          <fgColor indexed="64"/>
          <bgColor rgb="FFFFDAB9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FFFFFF"/>
        </left>
        <right style="medium">
          <color rgb="FFFFFFFF"/>
        </right>
        <top/>
        <bottom/>
      </border>
    </dxf>
    <dxf>
      <font>
        <sz val="16"/>
        <name val="Candara Light"/>
        <family val="2"/>
        <charset val="204"/>
        <scheme val="none"/>
      </font>
      <fill>
        <patternFill patternType="solid">
          <bgColor theme="0"/>
        </patternFill>
      </fill>
    </dxf>
  </dxfs>
  <tableStyles count="1" defaultTableStyle="TableStyleMedium2" defaultPivotStyle="PivotStyleLight16">
    <tableStyle name="Стиль среза 1" pivot="0" table="0" count="8" xr9:uid="{45262D3F-978E-4E82-82FE-2CA2D84C0DF4}">
      <tableStyleElement type="wholeTable" dxfId="40"/>
    </tableStyle>
  </tableStyles>
  <colors>
    <mruColors>
      <color rgb="FFF08080"/>
      <color rgb="FFF8AD9D"/>
      <color rgb="FFF4978E"/>
      <color rgb="FFFFDAB9"/>
      <color rgb="FFFFE7C1"/>
      <color rgb="FFFBC4AB"/>
    </mruColors>
  </colors>
  <extLst>
    <ext xmlns:x14="http://schemas.microsoft.com/office/spreadsheetml/2009/9/main" uri="{46F421CA-312F-682f-3DD2-61675219B42D}">
      <x14:dxfs count="7">
        <dxf>
          <fill>
            <patternFill>
              <bgColor theme="5" tint="0.79998168889431442"/>
            </patternFill>
          </fill>
        </dxf>
        <dxf>
          <fill>
            <patternFill>
              <bgColor theme="5" tint="0.79998168889431442"/>
            </patternFill>
          </fill>
        </dxf>
        <dxf>
          <fill>
            <patternFill>
              <bgColor theme="5" tint="0.59996337778862885"/>
            </patternFill>
          </fill>
        </dxf>
        <dxf>
          <fill>
            <patternFill>
              <bgColor theme="5" tint="0.59996337778862885"/>
            </patternFill>
          </fill>
        </dxf>
        <dxf>
          <fill>
            <patternFill>
              <bgColor theme="5" tint="0.79998168889431442"/>
            </patternFill>
          </fill>
        </dxf>
        <dxf>
          <fill>
            <patternFill>
              <bgColor theme="5" tint="0.59996337778862885"/>
            </patternFill>
          </fill>
        </dxf>
        <dxf>
          <fill>
            <patternFill patternType="none">
              <bgColor auto="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Стиль среза 1">
          <x14:slicerStyleElements>
            <x14:slicerStyleElement type="unselectedItemWith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pivotCacheDefinition" Target="pivotCache/pivotCacheDefinition7.xml"/><Relationship Id="rId18" Type="http://schemas.openxmlformats.org/officeDocument/2006/relationships/pivotCacheDefinition" Target="pivotCache/pivotCacheDefinition1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34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pivotCacheDefinition" Target="pivotCache/pivotCacheDefinition6.xml"/><Relationship Id="rId17" Type="http://schemas.openxmlformats.org/officeDocument/2006/relationships/pivotCacheDefinition" Target="pivotCache/pivotCacheDefinition11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0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9.xml"/><Relationship Id="rId23" Type="http://schemas.microsoft.com/office/2007/relationships/slicerCache" Target="slicerCaches/slicerCache4.xml"/><Relationship Id="rId28" Type="http://schemas.openxmlformats.org/officeDocument/2006/relationships/powerPivotData" Target="model/item.data"/><Relationship Id="rId10" Type="http://schemas.openxmlformats.org/officeDocument/2006/relationships/pivotCacheDefinition" Target="pivotCache/pivotCacheDefinition4.xml"/><Relationship Id="rId19" Type="http://schemas.openxmlformats.org/officeDocument/2006/relationships/pivotCacheDefinition" Target="pivotCache/pivotCacheDefinition13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pivotCacheDefinition" Target="pivotCache/pivotCacheDefinition8.xml"/><Relationship Id="rId22" Type="http://schemas.microsoft.com/office/2007/relationships/slicerCache" Target="slicerCaches/slicerCache3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Sample Data.xlsm]PivotTables!Age_count</c:name>
    <c:fmtId val="10"/>
  </c:pivotSource>
  <c:chart>
    <c:autoTitleDeleted val="1"/>
    <c:pivotFmts>
      <c:pivotFmt>
        <c:idx val="0"/>
        <c:spPr>
          <a:gradFill flip="none" rotWithShape="1">
            <a:gsLst>
              <a:gs pos="0">
                <a:schemeClr val="bg1"/>
              </a:gs>
              <a:gs pos="85000">
                <a:srgbClr val="F08080"/>
              </a:gs>
            </a:gsLst>
            <a:lin ang="16200000" scaled="1"/>
            <a:tileRect/>
          </a:gradFill>
          <a:ln cap="rnd">
            <a:solidFill>
              <a:srgbClr val="F08080">
                <a:alpha val="69000"/>
              </a:srgbClr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bg1"/>
              </a:gs>
              <a:gs pos="85000">
                <a:srgbClr val="F08080"/>
              </a:gs>
            </a:gsLst>
            <a:lin ang="16200000" scaled="1"/>
            <a:tileRect/>
          </a:gradFill>
          <a:ln cap="rnd">
            <a:solidFill>
              <a:srgbClr val="F08080">
                <a:alpha val="69000"/>
              </a:srgbClr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chemeClr val="bg1"/>
              </a:gs>
              <a:gs pos="85000">
                <a:srgbClr val="F08080"/>
              </a:gs>
            </a:gsLst>
            <a:lin ang="16200000" scaled="1"/>
            <a:tileRect/>
          </a:gradFill>
          <a:ln cap="rnd">
            <a:solidFill>
              <a:srgbClr val="F08080">
                <a:alpha val="69000"/>
              </a:srgbClr>
            </a:solidFill>
          </a:ln>
          <a:effectLst>
            <a:glow rad="63500">
              <a:schemeClr val="accent2">
                <a:satMod val="175000"/>
                <a:alpha val="34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PivotTables!$W$3</c:f>
              <c:strCache>
                <c:ptCount val="1"/>
                <c:pt idx="0">
                  <c:v>Итог</c:v>
                </c:pt>
              </c:strCache>
            </c:strRef>
          </c:tx>
          <c:spPr>
            <a:gradFill flip="none" rotWithShape="1">
              <a:gsLst>
                <a:gs pos="0">
                  <a:schemeClr val="bg1"/>
                </a:gs>
                <a:gs pos="85000">
                  <a:srgbClr val="F08080"/>
                </a:gs>
              </a:gsLst>
              <a:lin ang="16200000" scaled="1"/>
              <a:tileRect/>
            </a:gradFill>
            <a:ln cap="rnd">
              <a:solidFill>
                <a:srgbClr val="F08080">
                  <a:alpha val="69000"/>
                </a:srgbClr>
              </a:solidFill>
            </a:ln>
            <a:effectLst>
              <a:glow rad="63500">
                <a:schemeClr val="accent2">
                  <a:satMod val="175000"/>
                  <a:alpha val="34000"/>
                </a:schemeClr>
              </a:glow>
            </a:effectLst>
          </c:spPr>
          <c:cat>
            <c:strRef>
              <c:f>PivotTables!$V$4:$V$43</c:f>
              <c:strCache>
                <c:ptCount val="39"/>
                <c:pt idx="0">
                  <c:v>25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32</c:v>
                </c:pt>
                <c:pt idx="6">
                  <c:v>33</c:v>
                </c:pt>
                <c:pt idx="7">
                  <c:v>34</c:v>
                </c:pt>
                <c:pt idx="8">
                  <c:v>35</c:v>
                </c:pt>
                <c:pt idx="9">
                  <c:v>36</c:v>
                </c:pt>
                <c:pt idx="10">
                  <c:v>37</c:v>
                </c:pt>
                <c:pt idx="11">
                  <c:v>38</c:v>
                </c:pt>
                <c:pt idx="12">
                  <c:v>39</c:v>
                </c:pt>
                <c:pt idx="13">
                  <c:v>40</c:v>
                </c:pt>
                <c:pt idx="14">
                  <c:v>41</c:v>
                </c:pt>
                <c:pt idx="15">
                  <c:v>42</c:v>
                </c:pt>
                <c:pt idx="16">
                  <c:v>43</c:v>
                </c:pt>
                <c:pt idx="17">
                  <c:v>44</c:v>
                </c:pt>
                <c:pt idx="18">
                  <c:v>45</c:v>
                </c:pt>
                <c:pt idx="19">
                  <c:v>46</c:v>
                </c:pt>
                <c:pt idx="20">
                  <c:v>47</c:v>
                </c:pt>
                <c:pt idx="21">
                  <c:v>48</c:v>
                </c:pt>
                <c:pt idx="22">
                  <c:v>49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</c:strCache>
            </c:strRef>
          </c:cat>
          <c:val>
            <c:numRef>
              <c:f>PivotTables!$W$4:$W$43</c:f>
              <c:numCache>
                <c:formatCode>General</c:formatCode>
                <c:ptCount val="39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14</c:v>
                </c:pt>
                <c:pt idx="19">
                  <c:v>8</c:v>
                </c:pt>
                <c:pt idx="20">
                  <c:v>5</c:v>
                </c:pt>
                <c:pt idx="21">
                  <c:v>3</c:v>
                </c:pt>
                <c:pt idx="22">
                  <c:v>1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2</c:v>
                </c:pt>
                <c:pt idx="27">
                  <c:v>4</c:v>
                </c:pt>
                <c:pt idx="28">
                  <c:v>6</c:v>
                </c:pt>
                <c:pt idx="29">
                  <c:v>3</c:v>
                </c:pt>
                <c:pt idx="30">
                  <c:v>3</c:v>
                </c:pt>
                <c:pt idx="31">
                  <c:v>1</c:v>
                </c:pt>
                <c:pt idx="32">
                  <c:v>6</c:v>
                </c:pt>
                <c:pt idx="33">
                  <c:v>4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6</c:v>
                </c:pt>
                <c:pt idx="3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2-4733-AB44-EF85353BD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92144"/>
        <c:axId val="562268848"/>
      </c:areaChart>
      <c:catAx>
        <c:axId val="206492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 Light" panose="020E0502030303020204" pitchFamily="34" charset="0"/>
                <a:ea typeface="+mn-ea"/>
                <a:cs typeface="+mn-cs"/>
              </a:defRPr>
            </a:pPr>
            <a:endParaRPr lang="ru-RU"/>
          </a:p>
        </c:txPr>
        <c:crossAx val="562268848"/>
        <c:crosses val="autoZero"/>
        <c:auto val="1"/>
        <c:lblAlgn val="ctr"/>
        <c:lblOffset val="100"/>
        <c:noMultiLvlLbl val="0"/>
      </c:catAx>
      <c:valAx>
        <c:axId val="56226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F08080">
                  <a:alpha val="17000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 Light" panose="020E0502030303020204" pitchFamily="34" charset="0"/>
                <a:ea typeface="+mn-ea"/>
                <a:cs typeface="+mn-cs"/>
              </a:defRPr>
            </a:pPr>
            <a:endParaRPr lang="ru-RU"/>
          </a:p>
        </c:txPr>
        <c:crossAx val="206492144"/>
        <c:crosses val="autoZero"/>
        <c:crossBetween val="midCat"/>
      </c:valAx>
      <c:spPr>
        <a:noFill/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330200" sx="110000" sy="110000" algn="ctr" rotWithShape="0">
        <a:srgbClr val="F08080">
          <a:alpha val="43000"/>
        </a:srgbClr>
      </a:outerShdw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Sample Data.xlsm]PivotTables!Hired_count</c:name>
    <c:fmtId val="13"/>
  </c:pivotSource>
  <c:chart>
    <c:autoTitleDeleted val="1"/>
    <c:pivotFmts>
      <c:pivotFmt>
        <c:idx val="0"/>
        <c:spPr>
          <a:gradFill>
            <a:gsLst>
              <a:gs pos="0">
                <a:schemeClr val="bg1"/>
              </a:gs>
              <a:gs pos="85000">
                <a:srgbClr val="F08080"/>
              </a:gs>
            </a:gsLst>
            <a:lin ang="162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>
            <a:gsLst>
              <a:gs pos="0">
                <a:schemeClr val="bg1"/>
              </a:gs>
              <a:gs pos="85000">
                <a:srgbClr val="F08080"/>
              </a:gs>
            </a:gsLst>
            <a:lin ang="162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bg1"/>
              </a:gs>
              <a:gs pos="85000">
                <a:srgbClr val="F08080"/>
              </a:gs>
            </a:gsLst>
            <a:lin ang="162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PivotTables!$AC$3</c:f>
              <c:strCache>
                <c:ptCount val="1"/>
                <c:pt idx="0">
                  <c:v>Итог</c:v>
                </c:pt>
              </c:strCache>
            </c:strRef>
          </c:tx>
          <c:spPr>
            <a:gradFill>
              <a:gsLst>
                <a:gs pos="0">
                  <a:schemeClr val="bg1"/>
                </a:gs>
                <a:gs pos="85000">
                  <a:srgbClr val="F08080"/>
                </a:gs>
              </a:gsLst>
              <a:lin ang="16200000" scaled="1"/>
            </a:gradFill>
            <a:ln>
              <a:noFill/>
            </a:ln>
            <a:effectLst/>
          </c:spPr>
          <c:invertIfNegative val="0"/>
          <c:cat>
            <c:strRef>
              <c:f>PivotTables!$AB$4:$AB$32</c:f>
              <c:strCache>
                <c:ptCount val="28"/>
                <c:pt idx="0">
                  <c:v>1992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</c:strCache>
            </c:strRef>
          </c:cat>
          <c:val>
            <c:numRef>
              <c:f>PivotTables!$AC$4:$AC$32</c:f>
              <c:numCache>
                <c:formatCode>General</c:formatCode>
                <c:ptCount val="28"/>
                <c:pt idx="0">
                  <c:v>4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6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4</c:v>
                </c:pt>
                <c:pt idx="18">
                  <c:v>8</c:v>
                </c:pt>
                <c:pt idx="19">
                  <c:v>4</c:v>
                </c:pt>
                <c:pt idx="20">
                  <c:v>7</c:v>
                </c:pt>
                <c:pt idx="21">
                  <c:v>7</c:v>
                </c:pt>
                <c:pt idx="22">
                  <c:v>6</c:v>
                </c:pt>
                <c:pt idx="23">
                  <c:v>10</c:v>
                </c:pt>
                <c:pt idx="24">
                  <c:v>18</c:v>
                </c:pt>
                <c:pt idx="25">
                  <c:v>6</c:v>
                </c:pt>
                <c:pt idx="26">
                  <c:v>7</c:v>
                </c:pt>
                <c:pt idx="2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E-49F1-91FD-EDAA0D766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7836168"/>
        <c:axId val="177839336"/>
      </c:barChart>
      <c:catAx>
        <c:axId val="177836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 Light" panose="020E0502030303020204" pitchFamily="34" charset="0"/>
                <a:ea typeface="+mn-ea"/>
                <a:cs typeface="+mn-cs"/>
              </a:defRPr>
            </a:pPr>
            <a:endParaRPr lang="ru-RU"/>
          </a:p>
        </c:txPr>
        <c:crossAx val="177839336"/>
        <c:crosses val="autoZero"/>
        <c:auto val="1"/>
        <c:lblAlgn val="ctr"/>
        <c:lblOffset val="100"/>
        <c:noMultiLvlLbl val="0"/>
      </c:catAx>
      <c:valAx>
        <c:axId val="177839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 Light" panose="020E0502030303020204" pitchFamily="34" charset="0"/>
                <a:ea typeface="+mn-ea"/>
                <a:cs typeface="+mn-cs"/>
              </a:defRPr>
            </a:pPr>
            <a:endParaRPr lang="ru-RU"/>
          </a:p>
        </c:txPr>
        <c:crossAx val="17783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495300" sx="102000" sy="102000" algn="ctr" rotWithShape="0">
        <a:srgbClr val="F08080">
          <a:alpha val="64000"/>
        </a:srgbClr>
      </a:outerShdw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Sample Data.xlsm]PivotTables!Race_count</c:name>
    <c:fmtId val="4"/>
  </c:pivotSource>
  <c:chart>
    <c:autoTitleDeleted val="1"/>
    <c:pivotFmts>
      <c:pivotFmt>
        <c:idx val="0"/>
        <c:spPr>
          <a:solidFill>
            <a:srgbClr val="F0808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FFE7C1"/>
            </a:solidFill>
            <a:ln w="19050" cap="flat" cmpd="sng" algn="ctr">
              <a:noFill/>
              <a:prstDash val="solid"/>
              <a:miter lim="800000"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978E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8AD9D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FFDAB9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0808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FFE7C1"/>
            </a:solidFill>
            <a:ln w="19050" cap="flat" cmpd="sng" algn="ctr">
              <a:noFill/>
              <a:prstDash val="solid"/>
              <a:miter lim="800000"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0808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F4978E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F8AD9D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FFDAB9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F08080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FFE7C1">
                <a:alpha val="47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 Light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0"/>
        <c:spPr>
          <a:solidFill>
            <a:srgbClr val="F08080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rgbClr val="FFE7C1">
                <a:alpha val="47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 Light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31730229149299943"/>
                  <c:h val="0.35015243415912822"/>
                </c:manualLayout>
              </c15:layout>
            </c:ext>
          </c:extLst>
        </c:dLbl>
      </c:pivotFmt>
      <c:pivotFmt>
        <c:idx val="11"/>
        <c:spPr>
          <a:solidFill>
            <a:srgbClr val="F4978E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rgbClr val="FFE7C1">
                <a:alpha val="47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 Light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separator> 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6055186130507857"/>
                  <c:h val="0.24269918780415714"/>
                </c:manualLayout>
              </c15:layout>
            </c:ext>
          </c:extLst>
        </c:dLbl>
      </c:pivotFmt>
      <c:pivotFmt>
        <c:idx val="12"/>
        <c:spPr>
          <a:solidFill>
            <a:srgbClr val="F8AD9D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rgbClr val="FFE7C1">
                <a:alpha val="47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 Light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6524674353968913"/>
                  <c:h val="0.33081542908446537"/>
                </c:manualLayout>
              </c15:layout>
            </c:ext>
          </c:extLst>
        </c:dLbl>
      </c:pivotFmt>
      <c:pivotFmt>
        <c:idx val="13"/>
        <c:spPr>
          <a:solidFill>
            <a:srgbClr val="FFDAB9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rgbClr val="FFE7C1">
                <a:alpha val="47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no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 Light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9819245050773074"/>
                  <c:h val="0.338054143614209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2589816938062626"/>
          <c:y val="0.11484703312268264"/>
          <c:w val="0.54820366123874742"/>
          <c:h val="0.77030593375463474"/>
        </c:manualLayout>
      </c:layout>
      <c:pieChart>
        <c:varyColors val="1"/>
        <c:ser>
          <c:idx val="0"/>
          <c:order val="0"/>
          <c:tx>
            <c:strRef>
              <c:f>PivotTables!$H$3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08080"/>
            </a:solidFill>
          </c:spPr>
          <c:dPt>
            <c:idx val="0"/>
            <c:bubble3D val="0"/>
            <c:spPr>
              <a:solidFill>
                <a:srgbClr val="F080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36-4587-8F56-C6AF6DFAA90D}"/>
              </c:ext>
            </c:extLst>
          </c:dPt>
          <c:dPt>
            <c:idx val="1"/>
            <c:bubble3D val="0"/>
            <c:spPr>
              <a:solidFill>
                <a:srgbClr val="F4978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36-4587-8F56-C6AF6DFAA90D}"/>
              </c:ext>
            </c:extLst>
          </c:dPt>
          <c:dPt>
            <c:idx val="2"/>
            <c:bubble3D val="0"/>
            <c:spPr>
              <a:solidFill>
                <a:srgbClr val="F8AD9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36-4587-8F56-C6AF6DFAA90D}"/>
              </c:ext>
            </c:extLst>
          </c:dPt>
          <c:dPt>
            <c:idx val="3"/>
            <c:bubble3D val="0"/>
            <c:spPr>
              <a:solidFill>
                <a:srgbClr val="FFDAB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36-4587-8F56-C6AF6DFAA90D}"/>
              </c:ext>
            </c:extLst>
          </c:dPt>
          <c:dLbls>
            <c:dLbl>
              <c:idx val="0"/>
              <c:spPr>
                <a:solidFill>
                  <a:srgbClr val="FFE7C1">
                    <a:alpha val="47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 Light" panose="020E0502030303020204" pitchFamily="34" charset="0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1730229149299943"/>
                      <c:h val="0.350152434159128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236-4587-8F56-C6AF6DFAA90D}"/>
                </c:ext>
              </c:extLst>
            </c:dLbl>
            <c:dLbl>
              <c:idx val="1"/>
              <c:spPr>
                <a:solidFill>
                  <a:srgbClr val="FFE7C1">
                    <a:alpha val="47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 Light" panose="020E0502030303020204" pitchFamily="34" charset="0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6055186130507857"/>
                      <c:h val="0.2426991878041571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236-4587-8F56-C6AF6DFAA90D}"/>
                </c:ext>
              </c:extLst>
            </c:dLbl>
            <c:dLbl>
              <c:idx val="2"/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24674353968913"/>
                      <c:h val="0.330815429084465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236-4587-8F56-C6AF6DFAA90D}"/>
                </c:ext>
              </c:extLst>
            </c:dLbl>
            <c:dLbl>
              <c:idx val="3"/>
              <c:spPr>
                <a:solidFill>
                  <a:srgbClr val="FFE7C1">
                    <a:alpha val="47000"/>
                  </a:srgb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 Light" panose="020E0502030303020204" pitchFamily="34" charset="0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9819245050773074"/>
                      <c:h val="0.338054143614209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236-4587-8F56-C6AF6DFAA90D}"/>
                </c:ext>
              </c:extLst>
            </c:dLbl>
            <c:spPr>
              <a:solidFill>
                <a:srgbClr val="FFE7C1">
                  <a:alpha val="47000"/>
                </a:srgb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 Light" panose="020E0502030303020204" pitchFamily="34" charset="0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PivotTables!$G$4:$G$7</c:f>
              <c:strCache>
                <c:ptCount val="4"/>
                <c:pt idx="0">
                  <c:v>Asian</c:v>
                </c:pt>
                <c:pt idx="1">
                  <c:v>Black</c:v>
                </c:pt>
                <c:pt idx="2">
                  <c:v>Caucasian</c:v>
                </c:pt>
                <c:pt idx="3">
                  <c:v>Latino</c:v>
                </c:pt>
              </c:strCache>
            </c:strRef>
          </c:cat>
          <c:val>
            <c:numRef>
              <c:f>PivotTables!$H$4:$H$7</c:f>
              <c:numCache>
                <c:formatCode>General</c:formatCode>
                <c:ptCount val="4"/>
                <c:pt idx="0">
                  <c:v>48</c:v>
                </c:pt>
                <c:pt idx="1">
                  <c:v>5</c:v>
                </c:pt>
                <c:pt idx="2">
                  <c:v>40</c:v>
                </c:pt>
                <c:pt idx="3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36-4587-8F56-C6AF6DFAA90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482600" sx="98000" sy="98000" algn="ctr" rotWithShape="0">
        <a:srgbClr val="F08080">
          <a:alpha val="80000"/>
        </a:srgbClr>
      </a:outerShdw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Sample Data.xlsm]PivotTables!Gender_count</c:name>
    <c:fmtId val="5"/>
  </c:pivotSource>
  <c:chart>
    <c:autoTitleDeleted val="1"/>
    <c:pivotFmts>
      <c:pivotFmt>
        <c:idx val="0"/>
        <c:spPr>
          <a:solidFill>
            <a:srgbClr val="F4978E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FFDAB9">
                <a:alpha val="50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 Light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rgbClr val="FFE7C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4978E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FFDAB9">
                <a:alpha val="50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 Light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rgbClr val="F4978E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FFE7C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F4978E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rgbClr val="FFDAB9">
                <a:alpha val="50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 Light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F4978E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rgbClr val="FFDAB9">
                <a:alpha val="50000"/>
              </a:srgbClr>
            </a:solidFill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 Light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5403469437774667"/>
                  <c:h val="0.41538451861703418"/>
                </c:manualLayout>
              </c15:layout>
            </c:ext>
          </c:extLst>
        </c:dLbl>
      </c:pivotFmt>
      <c:pivotFmt>
        <c:idx val="7"/>
        <c:spPr>
          <a:solidFill>
            <a:srgbClr val="FFE7C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PivotTables!$K$3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978E"/>
            </a:solidFill>
          </c:spPr>
          <c:dPt>
            <c:idx val="0"/>
            <c:bubble3D val="0"/>
            <c:spPr>
              <a:solidFill>
                <a:srgbClr val="F4978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FD-4791-AAD2-01B956EA05AD}"/>
              </c:ext>
            </c:extLst>
          </c:dPt>
          <c:dPt>
            <c:idx val="1"/>
            <c:bubble3D val="0"/>
            <c:spPr>
              <a:solidFill>
                <a:srgbClr val="FFE7C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FD-4791-AAD2-01B956EA05AD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403469437774667"/>
                      <c:h val="0.415384518617034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FD-4791-AAD2-01B956EA05AD}"/>
                </c:ext>
              </c:extLst>
            </c:dLbl>
            <c:spPr>
              <a:solidFill>
                <a:srgbClr val="FFDAB9">
                  <a:alpha val="50000"/>
                </a:srgb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 Light" panose="020E0502030303020204" pitchFamily="34" charset="0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PivotTables!$J$4:$J$6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PivotTables!$K$4:$K$6</c:f>
              <c:numCache>
                <c:formatCode>General</c:formatCode>
                <c:ptCount val="2"/>
                <c:pt idx="0">
                  <c:v>71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FD-4791-AAD2-01B956EA0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482600" sx="98000" sy="98000" algn="ctr" rotWithShape="0">
        <a:srgbClr val="F08080"/>
      </a:outerShdw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solidFill>
              <a:schemeClr val="tx2">
                <a:lumMod val="20000"/>
                <a:lumOff val="80000"/>
              </a:schemeClr>
            </a:solidFill>
          </c:spPr>
          <c:dPt>
            <c:idx val="0"/>
            <c:bubble3D val="0"/>
            <c:spPr>
              <a:solidFill>
                <a:srgbClr val="F0808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89-43C6-BAAB-9F31F527DBCD}"/>
              </c:ext>
            </c:extLst>
          </c:dPt>
          <c:dPt>
            <c:idx val="1"/>
            <c:bubble3D val="0"/>
            <c:spPr>
              <a:solidFill>
                <a:srgbClr val="F4978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89-43C6-BAAB-9F31F527DBCD}"/>
              </c:ext>
            </c:extLst>
          </c:dPt>
          <c:dPt>
            <c:idx val="2"/>
            <c:bubble3D val="0"/>
            <c:spPr>
              <a:solidFill>
                <a:srgbClr val="F8AD9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89-43C6-BAAB-9F31F527DBCD}"/>
              </c:ext>
            </c:extLst>
          </c:dPt>
          <c:dPt>
            <c:idx val="3"/>
            <c:bubble3D val="0"/>
            <c:spPr>
              <a:solidFill>
                <a:srgbClr val="FBC4AB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C89-43C6-BAAB-9F31F527DBCD}"/>
              </c:ext>
            </c:extLst>
          </c:dPt>
          <c:dPt>
            <c:idx val="4"/>
            <c:bubble3D val="0"/>
            <c:spPr>
              <a:solidFill>
                <a:srgbClr val="FFDAB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C89-43C6-BAAB-9F31F527DBCD}"/>
              </c:ext>
            </c:extLst>
          </c:dPt>
          <c:dPt>
            <c:idx val="5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C89-43C6-BAAB-9F31F527DBC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ndara Light" panose="020E0502030303020204" pitchFamily="34" charset="0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PivotTables!$P$12:$P$17</c:f>
              <c:strCache>
                <c:ptCount val="6"/>
                <c:pt idx="0">
                  <c:v>Without bonuces</c:v>
                </c:pt>
                <c:pt idx="1">
                  <c:v> &lt; 10 %</c:v>
                </c:pt>
                <c:pt idx="2">
                  <c:v> 10 - 20 %</c:v>
                </c:pt>
                <c:pt idx="3">
                  <c:v>20 - 30 %</c:v>
                </c:pt>
                <c:pt idx="4">
                  <c:v>30 - 40 % </c:v>
                </c:pt>
                <c:pt idx="5">
                  <c:v>&gt; 40 % </c:v>
                </c:pt>
              </c:strCache>
            </c:strRef>
          </c:cat>
          <c:val>
            <c:numRef>
              <c:f>PivotTables!$Q$12:$Q$17</c:f>
              <c:numCache>
                <c:formatCode>General</c:formatCode>
                <c:ptCount val="6"/>
                <c:pt idx="0">
                  <c:v>525</c:v>
                </c:pt>
                <c:pt idx="1">
                  <c:v>138</c:v>
                </c:pt>
                <c:pt idx="2">
                  <c:v>153</c:v>
                </c:pt>
                <c:pt idx="3">
                  <c:v>94</c:v>
                </c:pt>
                <c:pt idx="4">
                  <c:v>90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C89-43C6-BAAB-9F31F527DBC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762000" sx="102000" sy="102000" algn="ctr" rotWithShape="0">
        <a:srgbClr val="F4978E">
          <a:alpha val="71000"/>
        </a:srgbClr>
      </a:outerShdw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Sample Data.xlsm]PivotTables!Сводная таблица2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DAB9">
              <a:alpha val="74902"/>
            </a:srgb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DAB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247306073734122"/>
          <c:y val="6.7791521055572707E-2"/>
          <c:w val="0.62056726116817185"/>
          <c:h val="0.8551029633768985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PivotTables!$B$3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FDAB9"/>
            </a:solidFill>
            <a:ln>
              <a:noFill/>
            </a:ln>
            <a:effectLst/>
          </c:spPr>
          <c:invertIfNegative val="0"/>
          <c:cat>
            <c:strRef>
              <c:f>PivotTables!$A$4:$A$37</c:f>
              <c:strCache>
                <c:ptCount val="33"/>
                <c:pt idx="0">
                  <c:v>Account Representative</c:v>
                </c:pt>
                <c:pt idx="1">
                  <c:v>Analyst</c:v>
                </c:pt>
                <c:pt idx="2">
                  <c:v>Analyst II</c:v>
                </c:pt>
                <c:pt idx="3">
                  <c:v>Automation Engineer</c:v>
                </c:pt>
                <c:pt idx="4">
                  <c:v>Business Partner</c:v>
                </c:pt>
                <c:pt idx="5">
                  <c:v>Cloud Infrastructure Architect</c:v>
                </c:pt>
                <c:pt idx="6">
                  <c:v>Computer Systems Manager</c:v>
                </c:pt>
                <c:pt idx="7">
                  <c:v>Controls Engineer</c:v>
                </c:pt>
                <c:pt idx="8">
                  <c:v>Development Engineer</c:v>
                </c:pt>
                <c:pt idx="9">
                  <c:v>Director</c:v>
                </c:pt>
                <c:pt idx="10">
                  <c:v>Engineering Manager</c:v>
                </c:pt>
                <c:pt idx="11">
                  <c:v>Enterprise Architect</c:v>
                </c:pt>
                <c:pt idx="12">
                  <c:v>Field Engineer</c:v>
                </c:pt>
                <c:pt idx="13">
                  <c:v>HRIS Analyst</c:v>
                </c:pt>
                <c:pt idx="14">
                  <c:v>IT Coordinator</c:v>
                </c:pt>
                <c:pt idx="15">
                  <c:v>IT Systems Architect</c:v>
                </c:pt>
                <c:pt idx="16">
                  <c:v>Manager</c:v>
                </c:pt>
                <c:pt idx="17">
                  <c:v>Network Administrator</c:v>
                </c:pt>
                <c:pt idx="18">
                  <c:v>Network Architect</c:v>
                </c:pt>
                <c:pt idx="19">
                  <c:v>Network Engineer</c:v>
                </c:pt>
                <c:pt idx="20">
                  <c:v>Operations Engineer</c:v>
                </c:pt>
                <c:pt idx="21">
                  <c:v>Quality Engineer</c:v>
                </c:pt>
                <c:pt idx="22">
                  <c:v>Service Desk Analyst</c:v>
                </c:pt>
                <c:pt idx="23">
                  <c:v>Solutions Architect</c:v>
                </c:pt>
                <c:pt idx="24">
                  <c:v>Sr. Account Representative</c:v>
                </c:pt>
                <c:pt idx="25">
                  <c:v>Sr. Analyst</c:v>
                </c:pt>
                <c:pt idx="26">
                  <c:v>Sr. Business Partner</c:v>
                </c:pt>
                <c:pt idx="27">
                  <c:v>Sr. Manger</c:v>
                </c:pt>
                <c:pt idx="28">
                  <c:v>System Administrator </c:v>
                </c:pt>
                <c:pt idx="29">
                  <c:v>Systems Analyst</c:v>
                </c:pt>
                <c:pt idx="30">
                  <c:v>Technical Architect</c:v>
                </c:pt>
                <c:pt idx="31">
                  <c:v>Test Engineer</c:v>
                </c:pt>
                <c:pt idx="32">
                  <c:v>Vice President</c:v>
                </c:pt>
              </c:strCache>
            </c:strRef>
          </c:cat>
          <c:val>
            <c:numRef>
              <c:f>PivotTables!$B$4:$B$37</c:f>
              <c:numCache>
                <c:formatCode>_-[$$-409]* #\ ##0_ ;_-[$$-409]* \-#\ ##0\ ;_-[$$-409]* "-"??_ ;_-@_ </c:formatCode>
                <c:ptCount val="33"/>
                <c:pt idx="0">
                  <c:v>1307914</c:v>
                </c:pt>
                <c:pt idx="1">
                  <c:v>2547484</c:v>
                </c:pt>
                <c:pt idx="2">
                  <c:v>3320316</c:v>
                </c:pt>
                <c:pt idx="3">
                  <c:v>665748</c:v>
                </c:pt>
                <c:pt idx="4">
                  <c:v>941636</c:v>
                </c:pt>
                <c:pt idx="5">
                  <c:v>1304420</c:v>
                </c:pt>
                <c:pt idx="6">
                  <c:v>1687283</c:v>
                </c:pt>
                <c:pt idx="7">
                  <c:v>1494392</c:v>
                </c:pt>
                <c:pt idx="8">
                  <c:v>1479895</c:v>
                </c:pt>
                <c:pt idx="9">
                  <c:v>20767696</c:v>
                </c:pt>
                <c:pt idx="10">
                  <c:v>2037076</c:v>
                </c:pt>
                <c:pt idx="11">
                  <c:v>1524576</c:v>
                </c:pt>
                <c:pt idx="12">
                  <c:v>1657508</c:v>
                </c:pt>
                <c:pt idx="13">
                  <c:v>988166</c:v>
                </c:pt>
                <c:pt idx="14">
                  <c:v>528269</c:v>
                </c:pt>
                <c:pt idx="15">
                  <c:v>977962</c:v>
                </c:pt>
                <c:pt idx="16">
                  <c:v>11101017</c:v>
                </c:pt>
                <c:pt idx="17">
                  <c:v>759084</c:v>
                </c:pt>
                <c:pt idx="18">
                  <c:v>1441666</c:v>
                </c:pt>
                <c:pt idx="19">
                  <c:v>519202</c:v>
                </c:pt>
                <c:pt idx="20">
                  <c:v>1213623</c:v>
                </c:pt>
                <c:pt idx="21">
                  <c:v>1671288</c:v>
                </c:pt>
                <c:pt idx="22">
                  <c:v>823292</c:v>
                </c:pt>
                <c:pt idx="23">
                  <c:v>1172449</c:v>
                </c:pt>
                <c:pt idx="24">
                  <c:v>763274</c:v>
                </c:pt>
                <c:pt idx="25">
                  <c:v>6048207</c:v>
                </c:pt>
                <c:pt idx="26">
                  <c:v>1445601</c:v>
                </c:pt>
                <c:pt idx="27">
                  <c:v>15517454</c:v>
                </c:pt>
                <c:pt idx="28">
                  <c:v>1197790</c:v>
                </c:pt>
                <c:pt idx="29">
                  <c:v>731819</c:v>
                </c:pt>
                <c:pt idx="30">
                  <c:v>1356155</c:v>
                </c:pt>
                <c:pt idx="31">
                  <c:v>894610</c:v>
                </c:pt>
                <c:pt idx="32">
                  <c:v>23330493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A2-4FA0-A0DC-B08C065F5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1041248"/>
        <c:axId val="981041600"/>
      </c:barChart>
      <c:catAx>
        <c:axId val="981041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 Light" panose="020E0502030303020204" pitchFamily="34" charset="0"/>
                <a:ea typeface="+mn-ea"/>
                <a:cs typeface="+mn-cs"/>
              </a:defRPr>
            </a:pPr>
            <a:endParaRPr lang="ru-RU"/>
          </a:p>
        </c:txPr>
        <c:crossAx val="981041600"/>
        <c:crosses val="autoZero"/>
        <c:auto val="1"/>
        <c:lblAlgn val="ctr"/>
        <c:lblOffset val="100"/>
        <c:noMultiLvlLbl val="0"/>
      </c:catAx>
      <c:valAx>
        <c:axId val="981041600"/>
        <c:scaling>
          <c:orientation val="minMax"/>
          <c:max val="45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409]* #,##0_ ;_-[$$-409]* \-#,##0\ ;_-[$$-409]* &quot;-&quot;_ ;_-@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ndara Light" panose="020E0502030303020204" pitchFamily="34" charset="0"/>
                <a:ea typeface="+mn-ea"/>
                <a:cs typeface="+mn-cs"/>
              </a:defRPr>
            </a:pPr>
            <a:endParaRPr lang="ru-RU"/>
          </a:p>
        </c:txPr>
        <c:crossAx val="9810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outerShdw blurRad="533400" sx="102000" sy="102000" algn="ctr" rotWithShape="0">
        <a:srgbClr val="F4978E">
          <a:alpha val="61000"/>
        </a:srgbClr>
      </a:outerShdw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 Sample Data.xlsm]PivotTables!Страны2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glow rad="101600">
              <a:schemeClr val="accent2">
                <a:satMod val="175000"/>
                <a:alpha val="40000"/>
              </a:schemeClr>
            </a:glo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showDataLabelsRange val="1"/>
            </c:ext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>
            <a:glow rad="101600">
              <a:schemeClr val="accent2">
                <a:satMod val="175000"/>
                <a:alpha val="40000"/>
              </a:schemeClr>
            </a:glow>
          </a:effectLst>
        </c:spPr>
        <c:dLbl>
          <c:idx val="0"/>
          <c:layout>
            <c:manualLayout>
              <c:x val="-0.20277777777777778"/>
              <c:y val="0.125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fld id="{A353CA95-5681-4F42-9521-D1FC04D5576D}" type="CELLRANGE">
                  <a:rPr lang="en-US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[ДИАПАЗОН ЯЧЕЕК]</a:t>
                </a:fld>
                <a:r>
                  <a:rPr lang="en-US" baseline="0"/>
                  <a:t>; </a:t>
                </a:r>
                <a:fld id="{D1048E4C-A82E-4770-B8F5-776755080B35}" type="CATEGORYNAME">
                  <a:rPr lang="en-US" baseline="0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[ИМЯ КАТЕГОРИИ]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>
            <a:glow rad="101600">
              <a:schemeClr val="accent2">
                <a:satMod val="175000"/>
                <a:alpha val="40000"/>
              </a:schemeClr>
            </a:glow>
          </a:effectLst>
        </c:spPr>
        <c:dLbl>
          <c:idx val="0"/>
          <c:layout>
            <c:manualLayout>
              <c:x val="0.12222222222222222"/>
              <c:y val="0.10185185185185185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fld id="{8962341B-EE65-4974-8D7F-71C39D6800AD}" type="CELLRANGE">
                  <a:rPr lang="en-US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[ДИАПАЗОН ЯЧЕЕК]</a:t>
                </a:fld>
                <a:endParaRPr lang="en-US" baseline="0"/>
              </a:p>
              <a:p>
                <a:pPr algn="ctr">
                  <a:defRPr lang="en-US"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fld id="{1A88E1D9-3AA3-4BCD-86EC-8FB3EE14622A}" type="CATEGORYNAME">
                  <a:rPr lang="en-US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[ИМЯ КАТЕГОРИИ]</a:t>
                </a:fld>
                <a:endParaRPr lang="ru-RU"/>
              </a:p>
            </c:rich>
          </c:tx>
          <c:spPr>
            <a:solidFill>
              <a:sysClr val="window" lastClr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glow rad="101600">
              <a:schemeClr val="accent2">
                <a:satMod val="175000"/>
                <a:alpha val="40000"/>
              </a:schemeClr>
            </a:glow>
          </a:effectLst>
        </c:spPr>
        <c:dLbl>
          <c:idx val="0"/>
          <c:layout>
            <c:manualLayout>
              <c:x val="0.19166666666666657"/>
              <c:y val="-8.3333333333333329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fld id="{898E4EF5-D750-49CC-A644-91A95F1D604D}" type="CELLRANGE">
                  <a:rPr lang="en-US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[ДИАПАЗОН ЯЧЕЕК]</a:t>
                </a:fld>
                <a:r>
                  <a:rPr lang="en-US" baseline="0"/>
                  <a:t>; </a:t>
                </a:r>
                <a:fld id="{5CF6782D-6F89-44EB-81F1-8BF3532A97A1}" type="CATEGORYNAME">
                  <a:rPr lang="en-US" baseline="0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[ИМЯ КАТЕГОРИИ]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glow rad="101600">
              <a:schemeClr val="accent2">
                <a:satMod val="175000"/>
                <a:alpha val="40000"/>
              </a:schemeClr>
            </a:glo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showDataLabelsRange val="1"/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glow rad="101600">
              <a:schemeClr val="accent2">
                <a:satMod val="175000"/>
                <a:alpha val="40000"/>
              </a:schemeClr>
            </a:glow>
          </a:effectLst>
        </c:spPr>
        <c:dLbl>
          <c:idx val="0"/>
          <c:layout>
            <c:manualLayout>
              <c:x val="0.19166666666666657"/>
              <c:y val="-8.3333333333333329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fld id="{5E408766-4AE6-4EDE-A655-42435159419D}" type="CELLRANGE">
                  <a:rPr lang="en-US" baseline="0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[ДИАПАЗОН ЯЧЕЕК]</a:t>
                </a:fld>
                <a:r>
                  <a:rPr lang="en-US" baseline="0"/>
                  <a:t>; </a:t>
                </a:r>
                <a:fld id="{1BFA61D2-CE0C-4A62-B912-A11E5E09C928}" type="CATEGORYNAME">
                  <a:rPr lang="en-US" baseline="0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[ИМЯ КАТЕГОРИИ]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glow rad="101600">
              <a:schemeClr val="accent2">
                <a:satMod val="175000"/>
                <a:alpha val="40000"/>
              </a:schemeClr>
            </a:glow>
          </a:effectLst>
        </c:spPr>
        <c:dLbl>
          <c:idx val="0"/>
          <c:layout>
            <c:manualLayout>
              <c:x val="0.12222222222222222"/>
              <c:y val="0.10185185185185185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fld id="{8962341B-EE65-4974-8D7F-71C39D6800AD}" type="CELLRANGE">
                  <a:rPr lang="en-US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[ДИАПАЗОН ЯЧЕЕК]</a:t>
                </a:fld>
                <a:endParaRPr lang="en-US" baseline="0"/>
              </a:p>
              <a:p>
                <a:pPr algn="ctr">
                  <a:defRPr lang="en-US"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fld id="{1A88E1D9-3AA3-4BCD-86EC-8FB3EE14622A}" type="CATEGORYNAME">
                  <a:rPr lang="en-US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[ИМЯ КАТЕГОРИИ]</a:t>
                </a:fld>
                <a:endParaRPr lang="ru-RU"/>
              </a:p>
            </c:rich>
          </c:tx>
          <c:spPr>
            <a:solidFill>
              <a:sysClr val="window" lastClr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glow rad="101600">
              <a:schemeClr val="accent2">
                <a:satMod val="175000"/>
                <a:alpha val="40000"/>
              </a:schemeClr>
            </a:glow>
          </a:effectLst>
        </c:spPr>
        <c:dLbl>
          <c:idx val="0"/>
          <c:layout>
            <c:manualLayout>
              <c:x val="-0.20277777777777778"/>
              <c:y val="0.125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fld id="{07D1C9B3-F023-49B0-B44B-ADCAD525AEC3}" type="CELLRANGE">
                  <a:rPr lang="en-US" baseline="0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[ДИАПАЗОН ЯЧЕЕК]</a:t>
                </a:fld>
                <a:r>
                  <a:rPr lang="en-US" baseline="0"/>
                  <a:t>; </a:t>
                </a:r>
                <a:fld id="{56998AA7-5952-48F7-94EA-B3A5C3B2BF2B}" type="CATEGORYNAME">
                  <a:rPr lang="en-US" baseline="0"/>
                  <a:pPr algn="ctr">
                    <a:defRPr lang="en-US" sz="14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Candara" panose="020E0502030303020204" pitchFamily="34" charset="0"/>
                      <a:ea typeface="+mn-ea"/>
                      <a:cs typeface="+mn-cs"/>
                    </a:defRPr>
                  </a:pPr>
                  <a:t>[ИМЯ КАТЕГОРИИ]</a:t>
                </a:fld>
                <a:endParaRPr lang="en-US" baseline="0"/>
              </a:p>
            </c:rich>
          </c:tx>
          <c:spPr>
            <a:solidFill>
              <a:sysClr val="window" lastClr="FFFFFF"/>
            </a:solidFill>
            <a:ln>
              <a:solidFill>
                <a:srgbClr val="000000">
                  <a:lumMod val="25000"/>
                  <a:lumOff val="75000"/>
                </a:srgb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  <c15:dlblFieldTable/>
              <c15:showDataLabelsRange val="1"/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>
                <a:alpha val="47000"/>
              </a:sysClr>
            </a:solidFill>
            <a:ln>
              <a:solidFill>
                <a:srgbClr val="FFDAB9">
                  <a:alpha val="37000"/>
                </a:srgbClr>
              </a:solidFill>
            </a:ln>
            <a:effectLst>
              <a:outerShdw blurRad="50800" dist="50800" dir="5400000" algn="ctr" rotWithShape="0">
                <a:srgbClr val="FFDAB9">
                  <a:alpha val="67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  <c15:showDataLabelsRange val="1"/>
            </c:ext>
          </c:extLst>
        </c:dLbl>
      </c:pivotFmt>
      <c:pivotFmt>
        <c:idx val="9"/>
        <c:spPr>
          <a:solidFill>
            <a:srgbClr val="FFDAB9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289226116551969"/>
              <c:y val="-7.7044437298992907E-2"/>
            </c:manualLayout>
          </c:layout>
          <c:spPr>
            <a:solidFill>
              <a:sysClr val="window" lastClr="FFFFFF">
                <a:alpha val="47000"/>
              </a:sysClr>
            </a:solidFill>
            <a:ln>
              <a:solidFill>
                <a:srgbClr val="FFDAB9">
                  <a:alpha val="37000"/>
                </a:srgbClr>
              </a:solidFill>
            </a:ln>
            <a:effectLst>
              <a:outerShdw blurRad="50800" dist="50800" dir="5400000" algn="ctr" rotWithShape="0">
                <a:srgbClr val="FFDAB9">
                  <a:alpha val="67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19840411929830654"/>
                  <c:h val="0.18672737512718207"/>
                </c:manualLayout>
              </c15:layout>
              <c15:dlblFieldTable/>
              <c15:showDataLabelsRange val="1"/>
            </c:ext>
          </c:extLst>
        </c:dLbl>
      </c:pivotFmt>
      <c:pivotFmt>
        <c:idx val="10"/>
        <c:spPr>
          <a:solidFill>
            <a:srgbClr val="F8AD9D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183054406427517"/>
              <c:y val="0.10814090683703066"/>
            </c:manualLayout>
          </c:layout>
          <c:spPr>
            <a:solidFill>
              <a:sysClr val="window" lastClr="FFFFFF">
                <a:alpha val="47000"/>
              </a:sysClr>
            </a:solidFill>
            <a:ln>
              <a:solidFill>
                <a:srgbClr val="FFDAB9">
                  <a:alpha val="37000"/>
                </a:srgbClr>
              </a:solidFill>
            </a:ln>
            <a:effectLst>
              <a:outerShdw blurRad="50800" dist="50800" dir="5400000" algn="ctr" rotWithShape="0">
                <a:srgbClr val="FFDAB9">
                  <a:alpha val="67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3258615082799941"/>
                  <c:h val="0.22026844742469931"/>
                </c:manualLayout>
              </c15:layout>
              <c15:dlblFieldTable/>
              <c15:showDataLabelsRange val="1"/>
            </c:ext>
          </c:extLst>
        </c:dLbl>
      </c:pivotFmt>
      <c:pivotFmt>
        <c:idx val="11"/>
        <c:spPr>
          <a:solidFill>
            <a:srgbClr val="F4978E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299253198419489"/>
              <c:y val="0.18793267191793703"/>
            </c:manualLayout>
          </c:layout>
          <c:spPr>
            <a:solidFill>
              <a:sysClr val="window" lastClr="FFFFFF">
                <a:alpha val="47000"/>
              </a:sysClr>
            </a:solidFill>
            <a:ln>
              <a:solidFill>
                <a:srgbClr val="FFDAB9">
                  <a:alpha val="37000"/>
                </a:srgbClr>
              </a:solidFill>
            </a:ln>
            <a:effectLst>
              <a:outerShdw blurRad="50800" dist="50800" dir="5400000" algn="ctr" rotWithShape="0">
                <a:srgbClr val="FFDAB9">
                  <a:alpha val="67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4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Candara" panose="020E0502030303020204" pitchFamily="34" charset="0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oundRect">
                  <a:avLst/>
                </a:prstGeom>
                <a:noFill/>
                <a:ln>
                  <a:noFill/>
                </a:ln>
              </c15:spPr>
              <c15:layout>
                <c:manualLayout>
                  <c:w val="0.29450054498470107"/>
                  <c:h val="0.25420339155661587"/>
                </c:manualLayout>
              </c15:layout>
              <c15:dlblFieldTable/>
              <c15:showDataLabelsRange val="1"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PivotTables!$E$3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rgbClr val="FFDAB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868-421A-9366-B32793C13E3E}"/>
              </c:ext>
            </c:extLst>
          </c:dPt>
          <c:dPt>
            <c:idx val="1"/>
            <c:bubble3D val="0"/>
            <c:spPr>
              <a:solidFill>
                <a:srgbClr val="F8AD9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868-421A-9366-B32793C13E3E}"/>
              </c:ext>
            </c:extLst>
          </c:dPt>
          <c:dPt>
            <c:idx val="2"/>
            <c:bubble3D val="0"/>
            <c:spPr>
              <a:solidFill>
                <a:srgbClr val="F4978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868-421A-9366-B32793C13E3E}"/>
              </c:ext>
            </c:extLst>
          </c:dPt>
          <c:dLbls>
            <c:dLbl>
              <c:idx val="0"/>
              <c:layout>
                <c:manualLayout>
                  <c:x val="0.19289226116551969"/>
                  <c:y val="-7.7044437298992907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9840411929830654"/>
                      <c:h val="0.1867273751271820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868-421A-9366-B32793C13E3E}"/>
                </c:ext>
              </c:extLst>
            </c:dLbl>
            <c:dLbl>
              <c:idx val="1"/>
              <c:layout>
                <c:manualLayout>
                  <c:x val="0.14183054406427517"/>
                  <c:y val="0.10814090683703066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3258615082799941"/>
                      <c:h val="0.22026844742469931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868-421A-9366-B32793C13E3E}"/>
                </c:ext>
              </c:extLst>
            </c:dLbl>
            <c:dLbl>
              <c:idx val="2"/>
              <c:layout>
                <c:manualLayout>
                  <c:x val="-0.13299253198419489"/>
                  <c:y val="0.1879326719179370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9450054498470107"/>
                      <c:h val="0.2542033915566158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868-421A-9366-B32793C13E3E}"/>
                </c:ext>
              </c:extLst>
            </c:dLbl>
            <c:spPr>
              <a:solidFill>
                <a:sysClr val="window" lastClr="FFFFFF">
                  <a:alpha val="47000"/>
                </a:sysClr>
              </a:solidFill>
              <a:ln>
                <a:solidFill>
                  <a:srgbClr val="FFDAB9">
                    <a:alpha val="37000"/>
                  </a:srgbClr>
                </a:solidFill>
              </a:ln>
              <a:effectLst>
                <a:outerShdw blurRad="50800" dist="50800" dir="5400000" algn="ctr" rotWithShape="0">
                  <a:srgbClr val="FFDAB9">
                    <a:alpha val="67000"/>
                  </a:srgb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Candara" panose="020E0502030303020204" pitchFamily="34" charset="0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  <c15:showDataLabelsRange val="1"/>
              </c:ext>
            </c:extLst>
          </c:dLbls>
          <c:cat>
            <c:strRef>
              <c:f>PivotTables!$D$4:$D$7</c:f>
              <c:strCache>
                <c:ptCount val="3"/>
                <c:pt idx="0">
                  <c:v>Brazil</c:v>
                </c:pt>
                <c:pt idx="1">
                  <c:v>China</c:v>
                </c:pt>
                <c:pt idx="2">
                  <c:v>United States</c:v>
                </c:pt>
              </c:strCache>
            </c:strRef>
          </c:cat>
          <c:val>
            <c:numRef>
              <c:f>PivotTables!$E$4:$E$7</c:f>
              <c:numCache>
                <c:formatCode>General</c:formatCode>
                <c:ptCount val="3"/>
                <c:pt idx="0">
                  <c:v>15613152</c:v>
                </c:pt>
                <c:pt idx="1">
                  <c:v>24813530</c:v>
                </c:pt>
                <c:pt idx="2">
                  <c:v>72790683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64-4F3A-BE04-1B20A51DF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406400" sx="102000" sy="102000" algn="ctr" rotWithShape="0">
        <a:srgbClr val="F4978E">
          <a:alpha val="54000"/>
        </a:srgbClr>
      </a:outerShdw>
    </a:effectLst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Bonuces Dashboard'!A1"/><Relationship Id="rId2" Type="http://schemas.openxmlformats.org/officeDocument/2006/relationships/hyperlink" Target="#'Salaries Dashboard'!A1"/><Relationship Id="rId1" Type="http://schemas.openxmlformats.org/officeDocument/2006/relationships/image" Target="../media/image2.png"/><Relationship Id="rId4" Type="http://schemas.openxmlformats.org/officeDocument/2006/relationships/hyperlink" Target="#Employee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hyperlink" Target="#'Bonuces Dashboard'!A1"/><Relationship Id="rId7" Type="http://schemas.openxmlformats.org/officeDocument/2006/relationships/chart" Target="../charts/chart3.xml"/><Relationship Id="rId2" Type="http://schemas.openxmlformats.org/officeDocument/2006/relationships/hyperlink" Target="#'Salaries Dashboard'!A1"/><Relationship Id="rId1" Type="http://schemas.openxmlformats.org/officeDocument/2006/relationships/image" Target="../media/image2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'Employees List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Employees!A1"/><Relationship Id="rId2" Type="http://schemas.openxmlformats.org/officeDocument/2006/relationships/hyperlink" Target="#'Salaries Dashboard'!A1"/><Relationship Id="rId1" Type="http://schemas.openxmlformats.org/officeDocument/2006/relationships/image" Target="../media/image2.png"/><Relationship Id="rId5" Type="http://schemas.openxmlformats.org/officeDocument/2006/relationships/chart" Target="../charts/chart5.xml"/><Relationship Id="rId4" Type="http://schemas.openxmlformats.org/officeDocument/2006/relationships/hyperlink" Target="#'Employees List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Employees!A1"/><Relationship Id="rId2" Type="http://schemas.openxmlformats.org/officeDocument/2006/relationships/hyperlink" Target="#'Bonuces Dashboard'!A1"/><Relationship Id="rId1" Type="http://schemas.openxmlformats.org/officeDocument/2006/relationships/image" Target="../media/image2.png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hyperlink" Target="#'Employees List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39718</xdr:colOff>
      <xdr:row>15</xdr:row>
      <xdr:rowOff>42458</xdr:rowOff>
    </xdr:from>
    <xdr:to>
      <xdr:col>3</xdr:col>
      <xdr:colOff>312768</xdr:colOff>
      <xdr:row>17</xdr:row>
      <xdr:rowOff>55157</xdr:rowOff>
    </xdr:to>
    <xdr:sp macro="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718" y="2836458"/>
          <a:ext cx="2101850" cy="385232"/>
        </a:xfrm>
        <a:prstGeom prst="roundRect">
          <a:avLst/>
        </a:prstGeom>
        <a:gradFill flip="none" rotWithShape="1">
          <a:gsLst>
            <a:gs pos="0">
              <a:schemeClr val="accent2">
                <a:tint val="66000"/>
                <a:satMod val="160000"/>
              </a:schemeClr>
            </a:gs>
            <a:gs pos="34000">
              <a:srgbClr val="FFDAB9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368301</xdr:colOff>
      <xdr:row>1</xdr:row>
      <xdr:rowOff>107950</xdr:rowOff>
    </xdr:from>
    <xdr:to>
      <xdr:col>7</xdr:col>
      <xdr:colOff>33868</xdr:colOff>
      <xdr:row>3</xdr:row>
      <xdr:rowOff>127000</xdr:rowOff>
    </xdr:to>
    <xdr:sp macro="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197101" y="294217"/>
          <a:ext cx="3263900" cy="391583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2">
                <a:tint val="66000"/>
                <a:satMod val="160000"/>
                <a:lumMod val="99000"/>
              </a:schemeClr>
            </a:gs>
            <a:gs pos="67000">
              <a:schemeClr val="accent2">
                <a:tint val="44500"/>
                <a:satMod val="160000"/>
              </a:schemeClr>
            </a:gs>
            <a:gs pos="100000">
              <a:srgbClr val="FFDAB9"/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317500</xdr:colOff>
      <xdr:row>1</xdr:row>
      <xdr:rowOff>127000</xdr:rowOff>
    </xdr:from>
    <xdr:to>
      <xdr:col>3</xdr:col>
      <xdr:colOff>520700</xdr:colOff>
      <xdr:row>4</xdr:row>
      <xdr:rowOff>6350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927100" y="311150"/>
          <a:ext cx="1422400" cy="431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Candara" panose="020E0502030303020204" pitchFamily="34" charset="0"/>
              <a:ea typeface="Cascadia Mono Light" panose="020B0609020000020004" pitchFamily="49" charset="0"/>
              <a:cs typeface="Cascadia Mono Light" panose="020B0609020000020004" pitchFamily="49" charset="0"/>
            </a:rPr>
            <a:t>Company X </a:t>
          </a:r>
          <a:endParaRPr lang="ru-RU" sz="1800" b="1">
            <a:latin typeface="Candara" panose="020E0502030303020204" pitchFamily="34" charset="0"/>
            <a:ea typeface="Cascadia Mono Light" panose="020B0609020000020004" pitchFamily="49" charset="0"/>
            <a:cs typeface="Cascadia Mono Light" panose="020B0609020000020004" pitchFamily="49" charset="0"/>
          </a:endParaRPr>
        </a:p>
      </xdr:txBody>
    </xdr:sp>
    <xdr:clientData/>
  </xdr:twoCellAnchor>
  <xdr:twoCellAnchor editAs="oneCell">
    <xdr:from>
      <xdr:col>0</xdr:col>
      <xdr:colOff>127001</xdr:colOff>
      <xdr:row>0</xdr:row>
      <xdr:rowOff>19051</xdr:rowOff>
    </xdr:from>
    <xdr:to>
      <xdr:col>1</xdr:col>
      <xdr:colOff>292100</xdr:colOff>
      <xdr:row>4</xdr:row>
      <xdr:rowOff>57150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1" y="19051"/>
          <a:ext cx="774699" cy="774699"/>
        </a:xfrm>
        <a:prstGeom prst="rect">
          <a:avLst/>
        </a:prstGeom>
      </xdr:spPr>
    </xdr:pic>
    <xdr:clientData/>
  </xdr:twoCellAnchor>
  <xdr:twoCellAnchor>
    <xdr:from>
      <xdr:col>3</xdr:col>
      <xdr:colOff>501651</xdr:colOff>
      <xdr:row>1</xdr:row>
      <xdr:rowOff>120650</xdr:rowOff>
    </xdr:from>
    <xdr:to>
      <xdr:col>6</xdr:col>
      <xdr:colOff>1227668</xdr:colOff>
      <xdr:row>3</xdr:row>
      <xdr:rowOff>146050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330451" y="306917"/>
          <a:ext cx="3054350" cy="3979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latin typeface="Candara Light" panose="020E0502030303020204" pitchFamily="34" charset="0"/>
            </a:rPr>
            <a:t>Human Resources Dashboard</a:t>
          </a:r>
          <a:endParaRPr lang="ru-RU" sz="18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93382</xdr:colOff>
      <xdr:row>7</xdr:row>
      <xdr:rowOff>114300</xdr:rowOff>
    </xdr:from>
    <xdr:to>
      <xdr:col>3</xdr:col>
      <xdr:colOff>380999</xdr:colOff>
      <xdr:row>9</xdr:row>
      <xdr:rowOff>121397</xdr:rowOff>
    </xdr:to>
    <xdr:sp macro="" textlink="">
      <xdr:nvSpPr>
        <xdr:cNvPr id="7" name="TextBox 6">
          <a:hlinkClick xmlns:r="http://schemas.openxmlformats.org/officeDocument/2006/relationships" r:id="rId2" tooltip="Salaries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93382" y="1403350"/>
          <a:ext cx="2116417" cy="3753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0">
              <a:latin typeface="Candara Light" panose="020E0502030303020204" pitchFamily="34" charset="0"/>
            </a:rPr>
            <a:t>Salaries</a:t>
          </a:r>
          <a:endParaRPr lang="ru-RU" sz="1800" b="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457574</xdr:colOff>
      <xdr:row>10</xdr:row>
      <xdr:rowOff>42333</xdr:rowOff>
    </xdr:from>
    <xdr:to>
      <xdr:col>3</xdr:col>
      <xdr:colOff>381000</xdr:colOff>
      <xdr:row>12</xdr:row>
      <xdr:rowOff>0</xdr:rowOff>
    </xdr:to>
    <xdr:sp macro="" textlink="">
      <xdr:nvSpPr>
        <xdr:cNvPr id="8" name="TextBox 7">
          <a:hlinkClick xmlns:r="http://schemas.openxmlformats.org/officeDocument/2006/relationships" r:id="rId3" tooltip="Bonuces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57574" y="1883833"/>
          <a:ext cx="1752226" cy="32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0">
              <a:latin typeface="Candara Light" panose="020E0502030303020204" pitchFamily="34" charset="0"/>
            </a:rPr>
            <a:t>Bonuces</a:t>
          </a:r>
          <a:endParaRPr lang="ru-RU" sz="1600" b="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12</xdr:row>
      <xdr:rowOff>154516</xdr:rowOff>
    </xdr:from>
    <xdr:to>
      <xdr:col>3</xdr:col>
      <xdr:colOff>381000</xdr:colOff>
      <xdr:row>14</xdr:row>
      <xdr:rowOff>84666</xdr:rowOff>
    </xdr:to>
    <xdr:sp macro="" textlink="">
      <xdr:nvSpPr>
        <xdr:cNvPr id="9" name="TextBox 8">
          <a:hlinkClick xmlns:r="http://schemas.openxmlformats.org/officeDocument/2006/relationships" r:id="rId4" tooltip="Employees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46050" y="2364316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0">
              <a:latin typeface="Candara Light" panose="020E0502030303020204" pitchFamily="34" charset="0"/>
            </a:rPr>
            <a:t>Employees</a:t>
          </a:r>
          <a:r>
            <a:rPr lang="en-US" sz="1600" b="0" baseline="0">
              <a:latin typeface="Candara Light" panose="020E0502030303020204" pitchFamily="34" charset="0"/>
            </a:rPr>
            <a:t> </a:t>
          </a:r>
          <a:endParaRPr lang="ru-RU" sz="1600" b="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15</xdr:row>
      <xdr:rowOff>82550</xdr:rowOff>
    </xdr:from>
    <xdr:to>
      <xdr:col>3</xdr:col>
      <xdr:colOff>381000</xdr:colOff>
      <xdr:row>17</xdr:row>
      <xdr:rowOff>12700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46050" y="2844800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1">
              <a:latin typeface="Candara Light" panose="020E0502030303020204" pitchFamily="34" charset="0"/>
            </a:rPr>
            <a:t>Employees</a:t>
          </a:r>
          <a:r>
            <a:rPr lang="en-US" sz="1600" b="1" baseline="0">
              <a:latin typeface="Candara Light" panose="020E0502030303020204" pitchFamily="34" charset="0"/>
            </a:rPr>
            <a:t> List</a:t>
          </a:r>
          <a:endParaRPr lang="ru-RU" sz="1600" b="1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18</xdr:col>
      <xdr:colOff>315918</xdr:colOff>
      <xdr:row>1</xdr:row>
      <xdr:rowOff>56151</xdr:rowOff>
    </xdr:from>
    <xdr:to>
      <xdr:col>20</xdr:col>
      <xdr:colOff>247580</xdr:colOff>
      <xdr:row>4</xdr:row>
      <xdr:rowOff>65223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4209718" y="242418"/>
          <a:ext cx="1819729" cy="567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b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Made</a:t>
          </a:r>
          <a:r>
            <a:rPr lang="en-US" sz="1100" b="0" baseline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 by:</a:t>
          </a:r>
        </a:p>
        <a:p>
          <a:pPr algn="r"/>
          <a:r>
            <a:rPr lang="en-US" sz="1100" b="0" baseline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Pluzhnikova Anastasiia</a:t>
          </a:r>
          <a:endParaRPr lang="ru-RU" sz="1100" b="0">
            <a:solidFill>
              <a:schemeClr val="tx2">
                <a:lumMod val="60000"/>
                <a:lumOff val="40000"/>
              </a:schemeClr>
            </a:solidFill>
            <a:latin typeface="Candara Light" panose="020E0502030303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12700</xdr:colOff>
          <xdr:row>9</xdr:row>
          <xdr:rowOff>0</xdr:rowOff>
        </xdr:from>
        <xdr:to>
          <xdr:col>19</xdr:col>
          <xdr:colOff>196850</xdr:colOff>
          <xdr:row>24</xdr:row>
          <xdr:rowOff>177800</xdr:rowOff>
        </xdr:to>
        <xdr:sp macro="" textlink="">
          <xdr:nvSpPr>
            <xdr:cNvPr id="6151" name="ScrollBar2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177800</xdr:rowOff>
        </xdr:from>
        <xdr:to>
          <xdr:col>8</xdr:col>
          <xdr:colOff>285750</xdr:colOff>
          <xdr:row>28</xdr:row>
          <xdr:rowOff>31750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ndara Light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920750</xdr:colOff>
          <xdr:row>25</xdr:row>
          <xdr:rowOff>152400</xdr:rowOff>
        </xdr:from>
        <xdr:to>
          <xdr:col>13</xdr:col>
          <xdr:colOff>508000</xdr:colOff>
          <xdr:row>28</xdr:row>
          <xdr:rowOff>25400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ndara Light"/>
                </a:rPr>
                <a:t>Fire employee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48185</xdr:colOff>
      <xdr:row>12</xdr:row>
      <xdr:rowOff>135591</xdr:rowOff>
    </xdr:from>
    <xdr:to>
      <xdr:col>3</xdr:col>
      <xdr:colOff>321235</xdr:colOff>
      <xdr:row>14</xdr:row>
      <xdr:rowOff>148290</xdr:rowOff>
    </xdr:to>
    <xdr:sp macro="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8185" y="2376767"/>
          <a:ext cx="2094006" cy="386229"/>
        </a:xfrm>
        <a:prstGeom prst="roundRect">
          <a:avLst/>
        </a:prstGeom>
        <a:gradFill flip="none" rotWithShape="1">
          <a:gsLst>
            <a:gs pos="0">
              <a:schemeClr val="accent2">
                <a:tint val="66000"/>
                <a:satMod val="160000"/>
              </a:schemeClr>
            </a:gs>
            <a:gs pos="34000">
              <a:srgbClr val="FFDAB9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368300</xdr:colOff>
      <xdr:row>1</xdr:row>
      <xdr:rowOff>107950</xdr:rowOff>
    </xdr:from>
    <xdr:to>
      <xdr:col>7</xdr:col>
      <xdr:colOff>33867</xdr:colOff>
      <xdr:row>3</xdr:row>
      <xdr:rowOff>127000</xdr:rowOff>
    </xdr:to>
    <xdr:sp macro="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97100" y="294217"/>
          <a:ext cx="3263900" cy="391583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2">
                <a:tint val="66000"/>
                <a:satMod val="160000"/>
                <a:lumMod val="99000"/>
              </a:schemeClr>
            </a:gs>
            <a:gs pos="67000">
              <a:schemeClr val="accent2">
                <a:tint val="44500"/>
                <a:satMod val="160000"/>
              </a:schemeClr>
            </a:gs>
            <a:gs pos="100000">
              <a:srgbClr val="FFDAB9"/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317500</xdr:colOff>
      <xdr:row>1</xdr:row>
      <xdr:rowOff>127000</xdr:rowOff>
    </xdr:from>
    <xdr:to>
      <xdr:col>3</xdr:col>
      <xdr:colOff>520700</xdr:colOff>
      <xdr:row>4</xdr:row>
      <xdr:rowOff>6350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27100" y="311150"/>
          <a:ext cx="1422400" cy="431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Candara" panose="020E0502030303020204" pitchFamily="34" charset="0"/>
              <a:ea typeface="Cascadia Mono Light" panose="020B0609020000020004" pitchFamily="49" charset="0"/>
              <a:cs typeface="Cascadia Mono Light" panose="020B0609020000020004" pitchFamily="49" charset="0"/>
            </a:rPr>
            <a:t>Company X </a:t>
          </a:r>
          <a:endParaRPr lang="ru-RU" sz="1800" b="1">
            <a:latin typeface="Candara" panose="020E0502030303020204" pitchFamily="34" charset="0"/>
            <a:ea typeface="Cascadia Mono Light" panose="020B0609020000020004" pitchFamily="49" charset="0"/>
            <a:cs typeface="Cascadia Mono Light" panose="020B0609020000020004" pitchFamily="49" charset="0"/>
          </a:endParaRPr>
        </a:p>
      </xdr:txBody>
    </xdr:sp>
    <xdr:clientData/>
  </xdr:twoCellAnchor>
  <xdr:twoCellAnchor editAs="oneCell">
    <xdr:from>
      <xdr:col>0</xdr:col>
      <xdr:colOff>127001</xdr:colOff>
      <xdr:row>0</xdr:row>
      <xdr:rowOff>19051</xdr:rowOff>
    </xdr:from>
    <xdr:to>
      <xdr:col>1</xdr:col>
      <xdr:colOff>292100</xdr:colOff>
      <xdr:row>4</xdr:row>
      <xdr:rowOff>57150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1" y="19051"/>
          <a:ext cx="774699" cy="774699"/>
        </a:xfrm>
        <a:prstGeom prst="rect">
          <a:avLst/>
        </a:prstGeom>
      </xdr:spPr>
    </xdr:pic>
    <xdr:clientData/>
  </xdr:twoCellAnchor>
  <xdr:twoCellAnchor>
    <xdr:from>
      <xdr:col>3</xdr:col>
      <xdr:colOff>501650</xdr:colOff>
      <xdr:row>1</xdr:row>
      <xdr:rowOff>120650</xdr:rowOff>
    </xdr:from>
    <xdr:to>
      <xdr:col>7</xdr:col>
      <xdr:colOff>169334</xdr:colOff>
      <xdr:row>3</xdr:row>
      <xdr:rowOff>146050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330450" y="306917"/>
          <a:ext cx="3266017" cy="3979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latin typeface="Candara Light" panose="020E0502030303020204" pitchFamily="34" charset="0"/>
            </a:rPr>
            <a:t>Human Resources Dashboard</a:t>
          </a:r>
          <a:endParaRPr lang="ru-RU" sz="18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93382</xdr:colOff>
      <xdr:row>7</xdr:row>
      <xdr:rowOff>114300</xdr:rowOff>
    </xdr:from>
    <xdr:to>
      <xdr:col>3</xdr:col>
      <xdr:colOff>380999</xdr:colOff>
      <xdr:row>9</xdr:row>
      <xdr:rowOff>121397</xdr:rowOff>
    </xdr:to>
    <xdr:sp macro="" textlink="">
      <xdr:nvSpPr>
        <xdr:cNvPr id="7" name="TextBox 6">
          <a:hlinkClick xmlns:r="http://schemas.openxmlformats.org/officeDocument/2006/relationships" r:id="rId2" tooltip="Salaries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3382" y="1403350"/>
          <a:ext cx="2116417" cy="3753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0">
              <a:latin typeface="Candara Light" panose="020E0502030303020204" pitchFamily="34" charset="0"/>
            </a:rPr>
            <a:t>Salaries</a:t>
          </a:r>
          <a:endParaRPr lang="ru-RU" sz="1800" b="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457574</xdr:colOff>
      <xdr:row>10</xdr:row>
      <xdr:rowOff>42333</xdr:rowOff>
    </xdr:from>
    <xdr:to>
      <xdr:col>3</xdr:col>
      <xdr:colOff>381000</xdr:colOff>
      <xdr:row>12</xdr:row>
      <xdr:rowOff>0</xdr:rowOff>
    </xdr:to>
    <xdr:sp macro="" textlink="">
      <xdr:nvSpPr>
        <xdr:cNvPr id="8" name="TextBox 7">
          <a:hlinkClick xmlns:r="http://schemas.openxmlformats.org/officeDocument/2006/relationships" r:id="rId3" tooltip="Bonuces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457574" y="1909980"/>
          <a:ext cx="1744382" cy="3311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0">
              <a:latin typeface="Candara Light" panose="020E0502030303020204" pitchFamily="34" charset="0"/>
            </a:rPr>
            <a:t>Bonuces</a:t>
          </a:r>
          <a:endParaRPr lang="ru-RU" sz="1600" b="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12</xdr:row>
      <xdr:rowOff>154516</xdr:rowOff>
    </xdr:from>
    <xdr:to>
      <xdr:col>3</xdr:col>
      <xdr:colOff>381000</xdr:colOff>
      <xdr:row>14</xdr:row>
      <xdr:rowOff>84666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46050" y="2364316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1">
              <a:latin typeface="Candara Light" panose="020E0502030303020204" pitchFamily="34" charset="0"/>
            </a:rPr>
            <a:t>Employees</a:t>
          </a:r>
          <a:r>
            <a:rPr lang="en-US" sz="1600" b="0" baseline="0">
              <a:latin typeface="Candara Light" panose="020E0502030303020204" pitchFamily="34" charset="0"/>
            </a:rPr>
            <a:t> </a:t>
          </a:r>
          <a:endParaRPr lang="ru-RU" sz="1600" b="1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15</xdr:row>
      <xdr:rowOff>82550</xdr:rowOff>
    </xdr:from>
    <xdr:to>
      <xdr:col>3</xdr:col>
      <xdr:colOff>381000</xdr:colOff>
      <xdr:row>17</xdr:row>
      <xdr:rowOff>12700</xdr:rowOff>
    </xdr:to>
    <xdr:sp macro="" textlink="">
      <xdr:nvSpPr>
        <xdr:cNvPr id="10" name="TextBox 9">
          <a:hlinkClick xmlns:r="http://schemas.openxmlformats.org/officeDocument/2006/relationships" r:id="rId4" tooltip="Employees List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46050" y="2844800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>
              <a:latin typeface="Candara Light" panose="020E0502030303020204" pitchFamily="34" charset="0"/>
            </a:rPr>
            <a:t>Employees</a:t>
          </a:r>
          <a:r>
            <a:rPr lang="en-US" sz="1600" baseline="0">
              <a:latin typeface="Candara Light" panose="020E0502030303020204" pitchFamily="34" charset="0"/>
            </a:rPr>
            <a:t> List</a:t>
          </a:r>
          <a:endParaRPr lang="ru-RU" sz="1600">
            <a:latin typeface="Candara Light" panose="020E0502030303020204" pitchFamily="34" charset="0"/>
          </a:endParaRPr>
        </a:p>
      </xdr:txBody>
    </xdr:sp>
    <xdr:clientData/>
  </xdr:twoCellAnchor>
  <xdr:twoCellAnchor editAs="oneCell">
    <xdr:from>
      <xdr:col>4</xdr:col>
      <xdr:colOff>328594</xdr:colOff>
      <xdr:row>4</xdr:row>
      <xdr:rowOff>65643</xdr:rowOff>
    </xdr:from>
    <xdr:to>
      <xdr:col>24</xdr:col>
      <xdr:colOff>155207</xdr:colOff>
      <xdr:row>8</xdr:row>
      <xdr:rowOff>163040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Department 2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ent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6994" y="810710"/>
              <a:ext cx="13297080" cy="8424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402020</xdr:colOff>
      <xdr:row>27</xdr:row>
      <xdr:rowOff>25401</xdr:rowOff>
    </xdr:from>
    <xdr:to>
      <xdr:col>24</xdr:col>
      <xdr:colOff>108349</xdr:colOff>
      <xdr:row>29</xdr:row>
      <xdr:rowOff>167730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Is Current Worker 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s Current Work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40420" y="5054601"/>
              <a:ext cx="13176796" cy="5148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21</xdr:col>
      <xdr:colOff>53451</xdr:colOff>
      <xdr:row>1</xdr:row>
      <xdr:rowOff>56151</xdr:rowOff>
    </xdr:from>
    <xdr:to>
      <xdr:col>24</xdr:col>
      <xdr:colOff>44380</xdr:colOff>
      <xdr:row>4</xdr:row>
      <xdr:rowOff>65223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4135005" y="236354"/>
          <a:ext cx="1818699" cy="5496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b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Made</a:t>
          </a:r>
          <a:r>
            <a:rPr lang="en-US" sz="1100" b="0" baseline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 by:</a:t>
          </a:r>
        </a:p>
        <a:p>
          <a:pPr algn="r"/>
          <a:r>
            <a:rPr lang="en-US" sz="1100" b="0" baseline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Pluzhnikova Anastasiia</a:t>
          </a:r>
          <a:endParaRPr lang="ru-RU" sz="1100" b="0">
            <a:solidFill>
              <a:schemeClr val="tx2">
                <a:lumMod val="60000"/>
                <a:lumOff val="40000"/>
              </a:schemeClr>
            </a:solidFill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5</xdr:col>
      <xdr:colOff>31379</xdr:colOff>
      <xdr:row>9</xdr:row>
      <xdr:rowOff>76200</xdr:rowOff>
    </xdr:from>
    <xdr:to>
      <xdr:col>12</xdr:col>
      <xdr:colOff>254000</xdr:colOff>
      <xdr:row>24</xdr:row>
      <xdr:rowOff>111561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535267</xdr:colOff>
      <xdr:row>8</xdr:row>
      <xdr:rowOff>42334</xdr:rowOff>
    </xdr:from>
    <xdr:to>
      <xdr:col>12</xdr:col>
      <xdr:colOff>230967</xdr:colOff>
      <xdr:row>11</xdr:row>
      <xdr:rowOff>98364</xdr:rowOff>
    </xdr:to>
    <xdr:sp macro="" textlink="">
      <xdr:nvSpPr>
        <xdr:cNvPr id="22" name="Прямоугольник: скругленные углы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7300134" y="1532467"/>
          <a:ext cx="1524500" cy="614830"/>
        </a:xfrm>
        <a:prstGeom prst="roundRect">
          <a:avLst>
            <a:gd name="adj" fmla="val 50000"/>
          </a:avLst>
        </a:prstGeom>
        <a:solidFill>
          <a:srgbClr val="FFE7C1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592666</xdr:colOff>
      <xdr:row>8</xdr:row>
      <xdr:rowOff>127001</xdr:rowOff>
    </xdr:from>
    <xdr:to>
      <xdr:col>12</xdr:col>
      <xdr:colOff>99362</xdr:colOff>
      <xdr:row>11</xdr:row>
      <xdr:rowOff>65369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7357533" y="1617134"/>
          <a:ext cx="1335496" cy="4971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>
              <a:latin typeface="Candara Light" panose="020E0502030303020204" pitchFamily="34" charset="0"/>
            </a:rPr>
            <a:t>Age</a:t>
          </a:r>
          <a:endParaRPr lang="ru-RU" sz="16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12</xdr:col>
      <xdr:colOff>524934</xdr:colOff>
      <xdr:row>15</xdr:row>
      <xdr:rowOff>150091</xdr:rowOff>
    </xdr:from>
    <xdr:to>
      <xdr:col>23</xdr:col>
      <xdr:colOff>402616</xdr:colOff>
      <xdr:row>27</xdr:row>
      <xdr:rowOff>25400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541867</xdr:colOff>
      <xdr:row>7</xdr:row>
      <xdr:rowOff>101599</xdr:rowOff>
    </xdr:from>
    <xdr:to>
      <xdr:col>18</xdr:col>
      <xdr:colOff>440267</xdr:colOff>
      <xdr:row>15</xdr:row>
      <xdr:rowOff>52744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296332</xdr:colOff>
      <xdr:row>15</xdr:row>
      <xdr:rowOff>93133</xdr:rowOff>
    </xdr:from>
    <xdr:to>
      <xdr:col>23</xdr:col>
      <xdr:colOff>101599</xdr:colOff>
      <xdr:row>17</xdr:row>
      <xdr:rowOff>166097</xdr:rowOff>
    </xdr:to>
    <xdr:sp macro="" textlink="">
      <xdr:nvSpPr>
        <xdr:cNvPr id="25" name="Прямоугольник: скругленные углы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3157199" y="2887133"/>
          <a:ext cx="2243667" cy="445497"/>
        </a:xfrm>
        <a:prstGeom prst="roundRect">
          <a:avLst>
            <a:gd name="adj" fmla="val 50000"/>
          </a:avLst>
        </a:prstGeom>
        <a:solidFill>
          <a:srgbClr val="FFE7C1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177799</xdr:colOff>
      <xdr:row>15</xdr:row>
      <xdr:rowOff>126999</xdr:rowOff>
    </xdr:from>
    <xdr:to>
      <xdr:col>22</xdr:col>
      <xdr:colOff>294095</xdr:colOff>
      <xdr:row>17</xdr:row>
      <xdr:rowOff>183901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13648266" y="2920999"/>
          <a:ext cx="1335496" cy="429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>
              <a:latin typeface="Candara Light" panose="020E0502030303020204" pitchFamily="34" charset="0"/>
            </a:rPr>
            <a:t>Num</a:t>
          </a:r>
          <a:r>
            <a:rPr lang="en-US" sz="1600" baseline="0">
              <a:latin typeface="Candara Light" panose="020E0502030303020204" pitchFamily="34" charset="0"/>
            </a:rPr>
            <a:t> of hired</a:t>
          </a:r>
          <a:endParaRPr lang="ru-RU" sz="16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18</xdr:col>
      <xdr:colOff>558800</xdr:colOff>
      <xdr:row>7</xdr:row>
      <xdr:rowOff>118533</xdr:rowOff>
    </xdr:from>
    <xdr:to>
      <xdr:col>23</xdr:col>
      <xdr:colOff>440266</xdr:colOff>
      <xdr:row>15</xdr:row>
      <xdr:rowOff>59267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321733</xdr:colOff>
      <xdr:row>4</xdr:row>
      <xdr:rowOff>59266</xdr:rowOff>
    </xdr:from>
    <xdr:to>
      <xdr:col>24</xdr:col>
      <xdr:colOff>137072</xdr:colOff>
      <xdr:row>8</xdr:row>
      <xdr:rowOff>156663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Department 1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0133" y="804333"/>
              <a:ext cx="13260406" cy="8424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0</xdr:col>
      <xdr:colOff>66861</xdr:colOff>
      <xdr:row>10</xdr:row>
      <xdr:rowOff>14194</xdr:rowOff>
    </xdr:from>
    <xdr:to>
      <xdr:col>3</xdr:col>
      <xdr:colOff>339911</xdr:colOff>
      <xdr:row>12</xdr:row>
      <xdr:rowOff>26894</xdr:rowOff>
    </xdr:to>
    <xdr:sp macro="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6861" y="1881841"/>
          <a:ext cx="2094006" cy="386229"/>
        </a:xfrm>
        <a:prstGeom prst="roundRect">
          <a:avLst/>
        </a:prstGeom>
        <a:gradFill flip="none" rotWithShape="1">
          <a:gsLst>
            <a:gs pos="0">
              <a:schemeClr val="accent2">
                <a:tint val="66000"/>
                <a:satMod val="160000"/>
              </a:schemeClr>
            </a:gs>
            <a:gs pos="34000">
              <a:srgbClr val="FFDAB9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368301</xdr:colOff>
      <xdr:row>1</xdr:row>
      <xdr:rowOff>107950</xdr:rowOff>
    </xdr:from>
    <xdr:to>
      <xdr:col>7</xdr:col>
      <xdr:colOff>67733</xdr:colOff>
      <xdr:row>3</xdr:row>
      <xdr:rowOff>127000</xdr:rowOff>
    </xdr:to>
    <xdr:sp macro="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97101" y="294217"/>
          <a:ext cx="3263899" cy="391583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2">
                <a:tint val="66000"/>
                <a:satMod val="160000"/>
                <a:lumMod val="99000"/>
              </a:schemeClr>
            </a:gs>
            <a:gs pos="67000">
              <a:schemeClr val="accent2">
                <a:tint val="44500"/>
                <a:satMod val="160000"/>
              </a:schemeClr>
            </a:gs>
            <a:gs pos="100000">
              <a:srgbClr val="FFDAB9"/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317500</xdr:colOff>
      <xdr:row>1</xdr:row>
      <xdr:rowOff>127000</xdr:rowOff>
    </xdr:from>
    <xdr:to>
      <xdr:col>3</xdr:col>
      <xdr:colOff>520700</xdr:colOff>
      <xdr:row>4</xdr:row>
      <xdr:rowOff>6350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27100" y="311150"/>
          <a:ext cx="1422400" cy="431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Candara" panose="020E0502030303020204" pitchFamily="34" charset="0"/>
              <a:ea typeface="Cascadia Mono Light" panose="020B0609020000020004" pitchFamily="49" charset="0"/>
              <a:cs typeface="Cascadia Mono Light" panose="020B0609020000020004" pitchFamily="49" charset="0"/>
            </a:rPr>
            <a:t>Company X </a:t>
          </a:r>
          <a:endParaRPr lang="ru-RU" sz="1800" b="1">
            <a:latin typeface="Candara" panose="020E0502030303020204" pitchFamily="34" charset="0"/>
            <a:ea typeface="Cascadia Mono Light" panose="020B0609020000020004" pitchFamily="49" charset="0"/>
            <a:cs typeface="Cascadia Mono Light" panose="020B0609020000020004" pitchFamily="49" charset="0"/>
          </a:endParaRPr>
        </a:p>
      </xdr:txBody>
    </xdr:sp>
    <xdr:clientData/>
  </xdr:twoCellAnchor>
  <xdr:twoCellAnchor editAs="oneCell">
    <xdr:from>
      <xdr:col>0</xdr:col>
      <xdr:colOff>127001</xdr:colOff>
      <xdr:row>0</xdr:row>
      <xdr:rowOff>19051</xdr:rowOff>
    </xdr:from>
    <xdr:to>
      <xdr:col>1</xdr:col>
      <xdr:colOff>292100</xdr:colOff>
      <xdr:row>4</xdr:row>
      <xdr:rowOff>57150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1" y="19051"/>
          <a:ext cx="774699" cy="774699"/>
        </a:xfrm>
        <a:prstGeom prst="rect">
          <a:avLst/>
        </a:prstGeom>
      </xdr:spPr>
    </xdr:pic>
    <xdr:clientData/>
  </xdr:twoCellAnchor>
  <xdr:twoCellAnchor>
    <xdr:from>
      <xdr:col>3</xdr:col>
      <xdr:colOff>501650</xdr:colOff>
      <xdr:row>1</xdr:row>
      <xdr:rowOff>120650</xdr:rowOff>
    </xdr:from>
    <xdr:to>
      <xdr:col>6</xdr:col>
      <xdr:colOff>1193800</xdr:colOff>
      <xdr:row>3</xdr:row>
      <xdr:rowOff>146050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330450" y="306917"/>
          <a:ext cx="3020483" cy="3979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latin typeface="Candara Light" panose="020E0502030303020204" pitchFamily="34" charset="0"/>
            </a:rPr>
            <a:t>Human Resources Dashboard</a:t>
          </a:r>
          <a:endParaRPr lang="ru-RU" sz="18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93382</xdr:colOff>
      <xdr:row>7</xdr:row>
      <xdr:rowOff>114300</xdr:rowOff>
    </xdr:from>
    <xdr:to>
      <xdr:col>3</xdr:col>
      <xdr:colOff>380999</xdr:colOff>
      <xdr:row>9</xdr:row>
      <xdr:rowOff>121397</xdr:rowOff>
    </xdr:to>
    <xdr:sp macro="" textlink="">
      <xdr:nvSpPr>
        <xdr:cNvPr id="7" name="TextBox 6">
          <a:hlinkClick xmlns:r="http://schemas.openxmlformats.org/officeDocument/2006/relationships" r:id="rId2" tooltip="Salaries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93382" y="1421653"/>
          <a:ext cx="2108573" cy="3806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0">
              <a:latin typeface="Candara Light" panose="020E0502030303020204" pitchFamily="34" charset="0"/>
            </a:rPr>
            <a:t>Salaries</a:t>
          </a:r>
          <a:endParaRPr lang="ru-RU" sz="1800" b="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10</xdr:row>
      <xdr:rowOff>42333</xdr:rowOff>
    </xdr:from>
    <xdr:to>
      <xdr:col>3</xdr:col>
      <xdr:colOff>381000</xdr:colOff>
      <xdr:row>11</xdr:row>
      <xdr:rowOff>156633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46050" y="1883833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1">
              <a:latin typeface="Candara Light" panose="020E0502030303020204" pitchFamily="34" charset="0"/>
            </a:rPr>
            <a:t>Bonuces</a:t>
          </a:r>
          <a:endParaRPr lang="ru-RU" sz="1600" b="1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12</xdr:row>
      <xdr:rowOff>154516</xdr:rowOff>
    </xdr:from>
    <xdr:to>
      <xdr:col>3</xdr:col>
      <xdr:colOff>381000</xdr:colOff>
      <xdr:row>14</xdr:row>
      <xdr:rowOff>84666</xdr:rowOff>
    </xdr:to>
    <xdr:sp macro="" textlink="">
      <xdr:nvSpPr>
        <xdr:cNvPr id="9" name="TextBox 8">
          <a:hlinkClick xmlns:r="http://schemas.openxmlformats.org/officeDocument/2006/relationships" r:id="rId3" tooltip="Employees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46050" y="2364316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>
              <a:latin typeface="Candara Light" panose="020E0502030303020204" pitchFamily="34" charset="0"/>
            </a:rPr>
            <a:t>Employees</a:t>
          </a:r>
          <a:endParaRPr lang="ru-RU" sz="16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15</xdr:row>
      <xdr:rowOff>82550</xdr:rowOff>
    </xdr:from>
    <xdr:to>
      <xdr:col>3</xdr:col>
      <xdr:colOff>381000</xdr:colOff>
      <xdr:row>17</xdr:row>
      <xdr:rowOff>12700</xdr:rowOff>
    </xdr:to>
    <xdr:sp macro="" textlink="">
      <xdr:nvSpPr>
        <xdr:cNvPr id="10" name="TextBox 9">
          <a:hlinkClick xmlns:r="http://schemas.openxmlformats.org/officeDocument/2006/relationships" r:id="rId4" tooltip="Employees List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46050" y="2844800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>
              <a:latin typeface="Candara Light" panose="020E0502030303020204" pitchFamily="34" charset="0"/>
            </a:rPr>
            <a:t>Employees List</a:t>
          </a:r>
          <a:endParaRPr lang="ru-RU" sz="16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21</xdr:col>
      <xdr:colOff>152657</xdr:colOff>
      <xdr:row>9</xdr:row>
      <xdr:rowOff>92231</xdr:rowOff>
    </xdr:from>
    <xdr:to>
      <xdr:col>24</xdr:col>
      <xdr:colOff>402073</xdr:colOff>
      <xdr:row>15</xdr:row>
      <xdr:rowOff>21159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114190" y="1768631"/>
          <a:ext cx="2078216" cy="104652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 b="0" baseline="0">
              <a:latin typeface="Candara Light" panose="020E0502030303020204" pitchFamily="34" charset="0"/>
            </a:rPr>
            <a:t>Max </a:t>
          </a:r>
        </a:p>
        <a:p>
          <a:r>
            <a:rPr lang="en-US" sz="1800" b="0" baseline="0">
              <a:latin typeface="Candara Light" panose="020E0502030303020204" pitchFamily="34" charset="0"/>
            </a:rPr>
            <a:t>(for department):</a:t>
          </a:r>
          <a:endParaRPr lang="ru-RU" sz="1800" b="0">
            <a:latin typeface="Candara Light" panose="020E0502030303020204" pitchFamily="34" charset="0"/>
          </a:endParaRPr>
        </a:p>
      </xdr:txBody>
    </xdr:sp>
    <xdr:clientData/>
  </xdr:twoCellAnchor>
  <xdr:twoCellAnchor editAs="oneCell">
    <xdr:from>
      <xdr:col>4</xdr:col>
      <xdr:colOff>397933</xdr:colOff>
      <xdr:row>27</xdr:row>
      <xdr:rowOff>33865</xdr:rowOff>
    </xdr:from>
    <xdr:to>
      <xdr:col>24</xdr:col>
      <xdr:colOff>25399</xdr:colOff>
      <xdr:row>29</xdr:row>
      <xdr:rowOff>101599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Is Current Worker 1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s Current Work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6333" y="5063065"/>
              <a:ext cx="13072533" cy="4402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21</xdr:col>
      <xdr:colOff>210886</xdr:colOff>
      <xdr:row>1</xdr:row>
      <xdr:rowOff>133038</xdr:rowOff>
    </xdr:from>
    <xdr:to>
      <xdr:col>24</xdr:col>
      <xdr:colOff>201814</xdr:colOff>
      <xdr:row>4</xdr:row>
      <xdr:rowOff>142110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4172419" y="319305"/>
          <a:ext cx="1819728" cy="567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b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Made</a:t>
          </a:r>
          <a:r>
            <a:rPr lang="en-US" sz="1100" b="0" baseline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 by:</a:t>
          </a:r>
        </a:p>
        <a:p>
          <a:pPr algn="r"/>
          <a:r>
            <a:rPr lang="en-US" sz="1100" b="0" baseline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Pluzhnikova Anastasiia</a:t>
          </a:r>
          <a:endParaRPr lang="ru-RU" sz="1100" b="0">
            <a:solidFill>
              <a:schemeClr val="tx2">
                <a:lumMod val="60000"/>
                <a:lumOff val="40000"/>
              </a:schemeClr>
            </a:solidFill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10</xdr:col>
      <xdr:colOff>46691</xdr:colOff>
      <xdr:row>9</xdr:row>
      <xdr:rowOff>177426</xdr:rowOff>
    </xdr:from>
    <xdr:to>
      <xdr:col>19</xdr:col>
      <xdr:colOff>74706</xdr:colOff>
      <xdr:row>26</xdr:row>
      <xdr:rowOff>65367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354853</xdr:colOff>
      <xdr:row>8</xdr:row>
      <xdr:rowOff>102719</xdr:rowOff>
    </xdr:from>
    <xdr:to>
      <xdr:col>9</xdr:col>
      <xdr:colOff>457573</xdr:colOff>
      <xdr:row>13</xdr:row>
      <xdr:rowOff>168088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2782794" y="1596837"/>
          <a:ext cx="4426323" cy="9991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600">
              <a:latin typeface="Candara Light" panose="020E0502030303020204" pitchFamily="34" charset="0"/>
            </a:rPr>
            <a:t>Top 10 </a:t>
          </a:r>
        </a:p>
        <a:p>
          <a:pPr algn="ctr"/>
          <a:r>
            <a:rPr lang="en-US" sz="2000">
              <a:latin typeface="Candara Light" panose="020E0502030303020204" pitchFamily="34" charset="0"/>
            </a:rPr>
            <a:t>Employees with the highest bonuces</a:t>
          </a:r>
          <a:endParaRPr lang="ru-RU" sz="20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21</xdr:col>
      <xdr:colOff>221005</xdr:colOff>
      <xdr:row>14</xdr:row>
      <xdr:rowOff>139824</xdr:rowOff>
    </xdr:from>
    <xdr:to>
      <xdr:col>23</xdr:col>
      <xdr:colOff>440267</xdr:colOff>
      <xdr:row>19</xdr:row>
      <xdr:rowOff>248</xdr:rowOff>
    </xdr:to>
    <xdr:sp macro="" textlink="PivotTables!$T$13">
      <xdr:nvSpPr>
        <xdr:cNvPr id="24" name="TextBox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 txBox="1"/>
      </xdr:nvSpPr>
      <xdr:spPr>
        <a:xfrm>
          <a:off x="14182538" y="2747557"/>
          <a:ext cx="1438462" cy="791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3E9353E5-386B-4016-B752-17F274A62D68}" type="TxLink">
            <a:rPr lang="en-US" sz="4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40%</a:t>
          </a:fld>
          <a:endParaRPr lang="ru-RU" sz="9600">
            <a:latin typeface="Candara" panose="020E0502030303020204" pitchFamily="34" charset="0"/>
          </a:endParaRPr>
        </a:p>
      </xdr:txBody>
    </xdr:sp>
    <xdr:clientData/>
  </xdr:twoCellAnchor>
  <xdr:twoCellAnchor>
    <xdr:from>
      <xdr:col>15</xdr:col>
      <xdr:colOff>466910</xdr:colOff>
      <xdr:row>8</xdr:row>
      <xdr:rowOff>102720</xdr:rowOff>
    </xdr:from>
    <xdr:to>
      <xdr:col>19</xdr:col>
      <xdr:colOff>130734</xdr:colOff>
      <xdr:row>11</xdr:row>
      <xdr:rowOff>158750</xdr:rowOff>
    </xdr:to>
    <xdr:sp macro="" textlink="">
      <xdr:nvSpPr>
        <xdr:cNvPr id="26" name="Прямоугольник: скругленные углы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0813675" y="1596838"/>
          <a:ext cx="2091765" cy="616324"/>
        </a:xfrm>
        <a:prstGeom prst="roundRect">
          <a:avLst>
            <a:gd name="adj" fmla="val 50000"/>
          </a:avLst>
        </a:prstGeom>
        <a:solidFill>
          <a:srgbClr val="FFE7C1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</xdr:col>
      <xdr:colOff>541617</xdr:colOff>
      <xdr:row>9</xdr:row>
      <xdr:rowOff>9338</xdr:rowOff>
    </xdr:from>
    <xdr:to>
      <xdr:col>19</xdr:col>
      <xdr:colOff>74706</xdr:colOff>
      <xdr:row>11</xdr:row>
      <xdr:rowOff>158750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10888382" y="1690220"/>
          <a:ext cx="1961030" cy="5229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>
              <a:latin typeface="Candara Light" panose="020E0502030303020204" pitchFamily="34" charset="0"/>
            </a:rPr>
            <a:t>All departments</a:t>
          </a:r>
          <a:endParaRPr lang="ru-RU" sz="1600">
            <a:latin typeface="Candara Light" panose="020E0502030303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7</xdr:row>
      <xdr:rowOff>88900</xdr:rowOff>
    </xdr:from>
    <xdr:to>
      <xdr:col>3</xdr:col>
      <xdr:colOff>349250</xdr:colOff>
      <xdr:row>9</xdr:row>
      <xdr:rowOff>101600</xdr:rowOff>
    </xdr:to>
    <xdr:sp macro="" textlink="">
      <xdr:nvSpPr>
        <xdr:cNvPr id="16" name="Прямоугольник: скругленные углы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76200" y="1377950"/>
          <a:ext cx="2101850" cy="381000"/>
        </a:xfrm>
        <a:prstGeom prst="roundRect">
          <a:avLst/>
        </a:prstGeom>
        <a:gradFill flip="none" rotWithShape="1">
          <a:gsLst>
            <a:gs pos="0">
              <a:schemeClr val="accent2">
                <a:tint val="66000"/>
                <a:satMod val="160000"/>
              </a:schemeClr>
            </a:gs>
            <a:gs pos="34000">
              <a:srgbClr val="FFDAB9"/>
            </a:gs>
            <a:gs pos="100000">
              <a:schemeClr val="bg1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368300</xdr:colOff>
      <xdr:row>1</xdr:row>
      <xdr:rowOff>107950</xdr:rowOff>
    </xdr:from>
    <xdr:to>
      <xdr:col>8</xdr:col>
      <xdr:colOff>590550</xdr:colOff>
      <xdr:row>3</xdr:row>
      <xdr:rowOff>127000</xdr:rowOff>
    </xdr:to>
    <xdr:sp macro="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97100" y="292100"/>
          <a:ext cx="3270250" cy="387350"/>
        </a:xfrm>
        <a:prstGeom prst="roundRect">
          <a:avLst>
            <a:gd name="adj" fmla="val 50000"/>
          </a:avLst>
        </a:prstGeom>
        <a:gradFill flip="none" rotWithShape="1">
          <a:gsLst>
            <a:gs pos="0">
              <a:schemeClr val="accent2">
                <a:tint val="66000"/>
                <a:satMod val="160000"/>
                <a:lumMod val="99000"/>
              </a:schemeClr>
            </a:gs>
            <a:gs pos="67000">
              <a:schemeClr val="accent2">
                <a:tint val="44500"/>
                <a:satMod val="160000"/>
              </a:schemeClr>
            </a:gs>
            <a:gs pos="100000">
              <a:srgbClr val="FFDAB9"/>
            </a:gs>
          </a:gsLst>
          <a:path path="circle">
            <a:fillToRect l="100000" b="100000"/>
          </a:path>
          <a:tileRect t="-100000" r="-10000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317500</xdr:colOff>
      <xdr:row>1</xdr:row>
      <xdr:rowOff>127000</xdr:rowOff>
    </xdr:from>
    <xdr:to>
      <xdr:col>3</xdr:col>
      <xdr:colOff>520700</xdr:colOff>
      <xdr:row>4</xdr:row>
      <xdr:rowOff>6350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27100" y="311150"/>
          <a:ext cx="1422400" cy="431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latin typeface="Candara" panose="020E0502030303020204" pitchFamily="34" charset="0"/>
              <a:ea typeface="Cascadia Mono Light" panose="020B0609020000020004" pitchFamily="49" charset="0"/>
              <a:cs typeface="Cascadia Mono Light" panose="020B0609020000020004" pitchFamily="49" charset="0"/>
            </a:rPr>
            <a:t>Company X </a:t>
          </a:r>
          <a:endParaRPr lang="ru-RU" sz="1800" b="1">
            <a:latin typeface="Candara" panose="020E0502030303020204" pitchFamily="34" charset="0"/>
            <a:ea typeface="Cascadia Mono Light" panose="020B0609020000020004" pitchFamily="49" charset="0"/>
            <a:cs typeface="Cascadia Mono Light" panose="020B0609020000020004" pitchFamily="49" charset="0"/>
          </a:endParaRPr>
        </a:p>
      </xdr:txBody>
    </xdr:sp>
    <xdr:clientData/>
  </xdr:twoCellAnchor>
  <xdr:twoCellAnchor editAs="oneCell">
    <xdr:from>
      <xdr:col>0</xdr:col>
      <xdr:colOff>127001</xdr:colOff>
      <xdr:row>0</xdr:row>
      <xdr:rowOff>19051</xdr:rowOff>
    </xdr:from>
    <xdr:to>
      <xdr:col>1</xdr:col>
      <xdr:colOff>292100</xdr:colOff>
      <xdr:row>4</xdr:row>
      <xdr:rowOff>57150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1" y="19051"/>
          <a:ext cx="774699" cy="774699"/>
        </a:xfrm>
        <a:prstGeom prst="rect">
          <a:avLst/>
        </a:prstGeom>
      </xdr:spPr>
    </xdr:pic>
    <xdr:clientData/>
  </xdr:twoCellAnchor>
  <xdr:twoCellAnchor>
    <xdr:from>
      <xdr:col>3</xdr:col>
      <xdr:colOff>501650</xdr:colOff>
      <xdr:row>1</xdr:row>
      <xdr:rowOff>120650</xdr:rowOff>
    </xdr:from>
    <xdr:to>
      <xdr:col>9</xdr:col>
      <xdr:colOff>171450</xdr:colOff>
      <xdr:row>3</xdr:row>
      <xdr:rowOff>146050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330450" y="304800"/>
          <a:ext cx="3327400" cy="393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latin typeface="Candara Light" panose="020E0502030303020204" pitchFamily="34" charset="0"/>
            </a:rPr>
            <a:t>Human Resources Dashboard</a:t>
          </a:r>
          <a:endParaRPr lang="ru-RU" sz="18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7</xdr:row>
      <xdr:rowOff>114300</xdr:rowOff>
    </xdr:from>
    <xdr:to>
      <xdr:col>3</xdr:col>
      <xdr:colOff>381000</xdr:colOff>
      <xdr:row>9</xdr:row>
      <xdr:rowOff>44450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46050" y="1403350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 b="1">
              <a:latin typeface="Candara Light" panose="020E0502030303020204" pitchFamily="34" charset="0"/>
            </a:rPr>
            <a:t>Salaries</a:t>
          </a:r>
          <a:endParaRPr lang="ru-RU" sz="1800" b="1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10</xdr:row>
      <xdr:rowOff>42333</xdr:rowOff>
    </xdr:from>
    <xdr:to>
      <xdr:col>3</xdr:col>
      <xdr:colOff>381000</xdr:colOff>
      <xdr:row>11</xdr:row>
      <xdr:rowOff>156633</xdr:rowOff>
    </xdr:to>
    <xdr:sp macro="" textlink="">
      <xdr:nvSpPr>
        <xdr:cNvPr id="13" name="TextBox 12">
          <a:hlinkClick xmlns:r="http://schemas.openxmlformats.org/officeDocument/2006/relationships" r:id="rId2" tooltip="Bonuces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146050" y="1883833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>
              <a:latin typeface="Candara Light" panose="020E0502030303020204" pitchFamily="34" charset="0"/>
            </a:rPr>
            <a:t>Bonuces</a:t>
          </a:r>
          <a:endParaRPr lang="ru-RU" sz="16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12</xdr:row>
      <xdr:rowOff>154516</xdr:rowOff>
    </xdr:from>
    <xdr:to>
      <xdr:col>3</xdr:col>
      <xdr:colOff>381000</xdr:colOff>
      <xdr:row>14</xdr:row>
      <xdr:rowOff>84666</xdr:rowOff>
    </xdr:to>
    <xdr:sp macro="" textlink="">
      <xdr:nvSpPr>
        <xdr:cNvPr id="14" name="TextBox 13">
          <a:hlinkClick xmlns:r="http://schemas.openxmlformats.org/officeDocument/2006/relationships" r:id="rId3" tooltip="Employees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46050" y="2364316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>
              <a:latin typeface="Candara Light" panose="020E0502030303020204" pitchFamily="34" charset="0"/>
            </a:rPr>
            <a:t>Employees</a:t>
          </a:r>
          <a:endParaRPr lang="ru-RU" sz="160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0</xdr:col>
      <xdr:colOff>146050</xdr:colOff>
      <xdr:row>15</xdr:row>
      <xdr:rowOff>82550</xdr:rowOff>
    </xdr:from>
    <xdr:to>
      <xdr:col>3</xdr:col>
      <xdr:colOff>381000</xdr:colOff>
      <xdr:row>17</xdr:row>
      <xdr:rowOff>12700</xdr:rowOff>
    </xdr:to>
    <xdr:sp macro="" textlink="">
      <xdr:nvSpPr>
        <xdr:cNvPr id="15" name="TextBox 14">
          <a:hlinkClick xmlns:r="http://schemas.openxmlformats.org/officeDocument/2006/relationships" r:id="rId4" tooltip="Employees List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46050" y="2844800"/>
          <a:ext cx="2063750" cy="298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600">
              <a:latin typeface="Candara Light" panose="020E0502030303020204" pitchFamily="34" charset="0"/>
            </a:rPr>
            <a:t>Employees List</a:t>
          </a:r>
        </a:p>
        <a:p>
          <a:pPr algn="r"/>
          <a:endParaRPr lang="ru-RU" sz="1600">
            <a:latin typeface="Candara Light" panose="020E0502030303020204" pitchFamily="34" charset="0"/>
          </a:endParaRPr>
        </a:p>
      </xdr:txBody>
    </xdr:sp>
    <xdr:clientData/>
  </xdr:twoCellAnchor>
  <xdr:twoCellAnchor editAs="oneCell">
    <xdr:from>
      <xdr:col>4</xdr:col>
      <xdr:colOff>328595</xdr:colOff>
      <xdr:row>4</xdr:row>
      <xdr:rowOff>65643</xdr:rowOff>
    </xdr:from>
    <xdr:to>
      <xdr:col>26</xdr:col>
      <xdr:colOff>177801</xdr:colOff>
      <xdr:row>8</xdr:row>
      <xdr:rowOff>163040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Department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76787" y="800101"/>
              <a:ext cx="3489057" cy="11278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23</xdr:col>
      <xdr:colOff>103848</xdr:colOff>
      <xdr:row>8</xdr:row>
      <xdr:rowOff>132822</xdr:rowOff>
    </xdr:from>
    <xdr:to>
      <xdr:col>26</xdr:col>
      <xdr:colOff>353264</xdr:colOff>
      <xdr:row>14</xdr:row>
      <xdr:rowOff>61750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4124648" y="1622955"/>
          <a:ext cx="2078216" cy="10465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 b="0">
              <a:latin typeface="Candara Light" panose="020E0502030303020204" pitchFamily="34" charset="0"/>
            </a:rPr>
            <a:t>Total</a:t>
          </a:r>
          <a:r>
            <a:rPr lang="en-US" sz="3600" b="0" baseline="0">
              <a:latin typeface="Candara Light" panose="020E0502030303020204" pitchFamily="34" charset="0"/>
            </a:rPr>
            <a:t> </a:t>
          </a:r>
        </a:p>
        <a:p>
          <a:r>
            <a:rPr lang="en-US" sz="1800" b="0" baseline="0">
              <a:latin typeface="Candara Light" panose="020E0502030303020204" pitchFamily="34" charset="0"/>
            </a:rPr>
            <a:t>(for department):</a:t>
          </a:r>
          <a:endParaRPr lang="ru-RU" sz="1800" b="0">
            <a:latin typeface="Candara Light" panose="020E0502030303020204" pitchFamily="34" charset="0"/>
          </a:endParaRPr>
        </a:p>
      </xdr:txBody>
    </xdr:sp>
    <xdr:clientData/>
  </xdr:twoCellAnchor>
  <xdr:twoCellAnchor editAs="oneCell">
    <xdr:from>
      <xdr:col>4</xdr:col>
      <xdr:colOff>402019</xdr:colOff>
      <xdr:row>27</xdr:row>
      <xdr:rowOff>33867</xdr:rowOff>
    </xdr:from>
    <xdr:to>
      <xdr:col>26</xdr:col>
      <xdr:colOff>50800</xdr:colOff>
      <xdr:row>29</xdr:row>
      <xdr:rowOff>84667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Is Current Worker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s Current Work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40419" y="5063067"/>
              <a:ext cx="13059981" cy="423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23</xdr:col>
      <xdr:colOff>147787</xdr:colOff>
      <xdr:row>18</xdr:row>
      <xdr:rowOff>12390</xdr:rowOff>
    </xdr:from>
    <xdr:to>
      <xdr:col>26</xdr:col>
      <xdr:colOff>397203</xdr:colOff>
      <xdr:row>24</xdr:row>
      <xdr:rowOff>29779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14168587" y="3365190"/>
          <a:ext cx="2078216" cy="11349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 b="0" baseline="0">
              <a:latin typeface="Candara Light" panose="020E0502030303020204" pitchFamily="34" charset="0"/>
            </a:rPr>
            <a:t>AVG </a:t>
          </a:r>
        </a:p>
        <a:p>
          <a:r>
            <a:rPr lang="en-US" sz="1800" b="0" baseline="0">
              <a:latin typeface="Candara Light" panose="020E0502030303020204" pitchFamily="34" charset="0"/>
            </a:rPr>
            <a:t>(for department):</a:t>
          </a:r>
          <a:endParaRPr lang="ru-RU" sz="1800" b="0"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23</xdr:col>
      <xdr:colOff>172163</xdr:colOff>
      <xdr:row>1</xdr:row>
      <xdr:rowOff>144120</xdr:rowOff>
    </xdr:from>
    <xdr:to>
      <xdr:col>26</xdr:col>
      <xdr:colOff>163091</xdr:colOff>
      <xdr:row>4</xdr:row>
      <xdr:rowOff>153192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14192963" y="330387"/>
          <a:ext cx="1819728" cy="5678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 b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Made</a:t>
          </a:r>
          <a:r>
            <a:rPr lang="en-US" sz="1100" b="0" baseline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 by:</a:t>
          </a:r>
        </a:p>
        <a:p>
          <a:pPr algn="r"/>
          <a:r>
            <a:rPr lang="en-US" sz="1100" b="0" baseline="0">
              <a:solidFill>
                <a:schemeClr val="tx2">
                  <a:lumMod val="60000"/>
                  <a:lumOff val="40000"/>
                </a:schemeClr>
              </a:solidFill>
              <a:latin typeface="Candara Light" panose="020E0502030303020204" pitchFamily="34" charset="0"/>
            </a:rPr>
            <a:t>Pluzhnikova Anastasiia</a:t>
          </a:r>
          <a:endParaRPr lang="ru-RU" sz="1100" b="0">
            <a:solidFill>
              <a:schemeClr val="tx2">
                <a:lumMod val="60000"/>
                <a:lumOff val="40000"/>
              </a:schemeClr>
            </a:solidFill>
            <a:latin typeface="Candara Light" panose="020E0502030303020204" pitchFamily="34" charset="0"/>
          </a:endParaRPr>
        </a:p>
      </xdr:txBody>
    </xdr:sp>
    <xdr:clientData/>
  </xdr:twoCellAnchor>
  <xdr:twoCellAnchor>
    <xdr:from>
      <xdr:col>23</xdr:col>
      <xdr:colOff>101601</xdr:colOff>
      <xdr:row>13</xdr:row>
      <xdr:rowOff>164601</xdr:rowOff>
    </xdr:from>
    <xdr:to>
      <xdr:col>27</xdr:col>
      <xdr:colOff>115547</xdr:colOff>
      <xdr:row>18</xdr:row>
      <xdr:rowOff>25026</xdr:rowOff>
    </xdr:to>
    <xdr:sp macro="" textlink="PivotTables!$N$13">
      <xdr:nvSpPr>
        <xdr:cNvPr id="23" name="TextBox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14122401" y="2586068"/>
          <a:ext cx="2452346" cy="79175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AE1806D-A055-4EBC-9063-43E3924F4F43}" type="TxLink">
            <a:rPr lang="en-US" sz="4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113,2 M</a:t>
          </a:fld>
          <a:endParaRPr lang="ru-RU" sz="11500">
            <a:latin typeface="Candara" panose="020E0502030303020204" pitchFamily="34" charset="0"/>
          </a:endParaRPr>
        </a:p>
      </xdr:txBody>
    </xdr:sp>
    <xdr:clientData/>
  </xdr:twoCellAnchor>
  <xdr:twoCellAnchor>
    <xdr:from>
      <xdr:col>23</xdr:col>
      <xdr:colOff>118533</xdr:colOff>
      <xdr:row>23</xdr:row>
      <xdr:rowOff>37726</xdr:rowOff>
    </xdr:from>
    <xdr:to>
      <xdr:col>26</xdr:col>
      <xdr:colOff>549462</xdr:colOff>
      <xdr:row>27</xdr:row>
      <xdr:rowOff>84417</xdr:rowOff>
    </xdr:to>
    <xdr:sp macro="" textlink="PivotTables!Z13">
      <xdr:nvSpPr>
        <xdr:cNvPr id="24" name="TextBox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14139333" y="4321859"/>
          <a:ext cx="2259729" cy="7917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38CC69C-1997-4DF5-855C-21A5F2A50D39}" type="TxLink">
            <a:rPr lang="en-US" sz="4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113,2 K</a:t>
          </a:fld>
          <a:endParaRPr lang="ru-RU" sz="4000">
            <a:latin typeface="Candara" panose="020E0502030303020204" pitchFamily="34" charset="0"/>
          </a:endParaRPr>
        </a:p>
      </xdr:txBody>
    </xdr:sp>
    <xdr:clientData/>
  </xdr:twoCellAnchor>
  <xdr:twoCellAnchor>
    <xdr:from>
      <xdr:col>5</xdr:col>
      <xdr:colOff>138955</xdr:colOff>
      <xdr:row>8</xdr:row>
      <xdr:rowOff>93134</xdr:rowOff>
    </xdr:from>
    <xdr:to>
      <xdr:col>13</xdr:col>
      <xdr:colOff>570580</xdr:colOff>
      <xdr:row>26</xdr:row>
      <xdr:rowOff>16934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496956</xdr:colOff>
      <xdr:row>8</xdr:row>
      <xdr:rowOff>59267</xdr:rowOff>
    </xdr:from>
    <xdr:to>
      <xdr:col>22</xdr:col>
      <xdr:colOff>465942</xdr:colOff>
      <xdr:row>26</xdr:row>
      <xdr:rowOff>25400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7904282405" backgroundQuery="1" createdVersion="8" refreshedVersion="8" minRefreshableVersion="3" recordCount="0" supportSubquery="1" supportAdvancedDrill="1" xr:uid="{9DA317C4-E490-4E63-BC78-467C24A580FA}">
  <cacheSource type="external" connectionId="1"/>
  <cacheFields count="4">
    <cacheField name="[TBL_Employees].[Age].[Age]" caption="Age" numFmtId="0" hierarchy="7" level="1">
      <sharedItems containsSemiMixedTypes="0" containsString="0" containsNumber="1" containsInteger="1" minValue="25" maxValue="65" count="39">
        <n v="25"/>
        <n v="27"/>
        <n v="28"/>
        <n v="29"/>
        <n v="30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</sharedItems>
      <extLst>
        <ext xmlns:x15="http://schemas.microsoft.com/office/spreadsheetml/2010/11/main" uri="{4F2E5C28-24EA-4eb8-9CBF-B6C8F9C3D259}">
          <x15:cachedUniqueNames>
            <x15:cachedUniqueName index="0" name="[TBL_Employees].[Age].&amp;[25]"/>
            <x15:cachedUniqueName index="1" name="[TBL_Employees].[Age].&amp;[27]"/>
            <x15:cachedUniqueName index="2" name="[TBL_Employees].[Age].&amp;[28]"/>
            <x15:cachedUniqueName index="3" name="[TBL_Employees].[Age].&amp;[29]"/>
            <x15:cachedUniqueName index="4" name="[TBL_Employees].[Age].&amp;[30]"/>
            <x15:cachedUniqueName index="5" name="[TBL_Employees].[Age].&amp;[32]"/>
            <x15:cachedUniqueName index="6" name="[TBL_Employees].[Age].&amp;[33]"/>
            <x15:cachedUniqueName index="7" name="[TBL_Employees].[Age].&amp;[34]"/>
            <x15:cachedUniqueName index="8" name="[TBL_Employees].[Age].&amp;[35]"/>
            <x15:cachedUniqueName index="9" name="[TBL_Employees].[Age].&amp;[36]"/>
            <x15:cachedUniqueName index="10" name="[TBL_Employees].[Age].&amp;[37]"/>
            <x15:cachedUniqueName index="11" name="[TBL_Employees].[Age].&amp;[38]"/>
            <x15:cachedUniqueName index="12" name="[TBL_Employees].[Age].&amp;[39]"/>
            <x15:cachedUniqueName index="13" name="[TBL_Employees].[Age].&amp;[40]"/>
            <x15:cachedUniqueName index="14" name="[TBL_Employees].[Age].&amp;[41]"/>
            <x15:cachedUniqueName index="15" name="[TBL_Employees].[Age].&amp;[42]"/>
            <x15:cachedUniqueName index="16" name="[TBL_Employees].[Age].&amp;[43]"/>
            <x15:cachedUniqueName index="17" name="[TBL_Employees].[Age].&amp;[44]"/>
            <x15:cachedUniqueName index="18" name="[TBL_Employees].[Age].&amp;[45]"/>
            <x15:cachedUniqueName index="19" name="[TBL_Employees].[Age].&amp;[46]"/>
            <x15:cachedUniqueName index="20" name="[TBL_Employees].[Age].&amp;[47]"/>
            <x15:cachedUniqueName index="21" name="[TBL_Employees].[Age].&amp;[48]"/>
            <x15:cachedUniqueName index="22" name="[TBL_Employees].[Age].&amp;[49]"/>
            <x15:cachedUniqueName index="23" name="[TBL_Employees].[Age].&amp;[50]"/>
            <x15:cachedUniqueName index="24" name="[TBL_Employees].[Age].&amp;[51]"/>
            <x15:cachedUniqueName index="25" name="[TBL_Employees].[Age].&amp;[52]"/>
            <x15:cachedUniqueName index="26" name="[TBL_Employees].[Age].&amp;[53]"/>
            <x15:cachedUniqueName index="27" name="[TBL_Employees].[Age].&amp;[54]"/>
            <x15:cachedUniqueName index="28" name="[TBL_Employees].[Age].&amp;[55]"/>
            <x15:cachedUniqueName index="29" name="[TBL_Employees].[Age].&amp;[56]"/>
            <x15:cachedUniqueName index="30" name="[TBL_Employees].[Age].&amp;[57]"/>
            <x15:cachedUniqueName index="31" name="[TBL_Employees].[Age].&amp;[58]"/>
            <x15:cachedUniqueName index="32" name="[TBL_Employees].[Age].&amp;[59]"/>
            <x15:cachedUniqueName index="33" name="[TBL_Employees].[Age].&amp;[60]"/>
            <x15:cachedUniqueName index="34" name="[TBL_Employees].[Age].&amp;[61]"/>
            <x15:cachedUniqueName index="35" name="[TBL_Employees].[Age].&amp;[62]"/>
            <x15:cachedUniqueName index="36" name="[TBL_Employees].[Age].&amp;[63]"/>
            <x15:cachedUniqueName index="37" name="[TBL_Employees].[Age].&amp;[64]"/>
            <x15:cachedUniqueName index="38" name="[TBL_Employees].[Age].&amp;[65]"/>
          </x15:cachedUniqueNames>
        </ext>
      </extLst>
    </cacheField>
    <cacheField name="[Measures].[Число элементов в столбце EEID]" caption="Число элементов в столбце EEID" numFmtId="0" hierarchy="26" level="32767"/>
    <cacheField name="[TBL_Employees].[Department].[Department]" caption="Department" numFmtId="0" hierarchy="3" level="1">
      <sharedItems containsSemiMixedTypes="0" containsNonDate="0" containsString="0"/>
    </cacheField>
    <cacheField name="[TBL_Employees].[Is Current Worker].[Is Current Worker]" caption="Is Current Worker" numFmtId="0" hierarchy="14" level="1">
      <sharedItems containsSemiMixedTypes="0" containsNonDate="0" containsString="0"/>
    </cacheField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2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2" memberValueDatatype="20" unbalanced="0">
      <fieldsUsage count="2">
        <fieldUsage x="-1"/>
        <fieldUsage x="0"/>
      </fieldsUsage>
    </cacheHierarchy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>
      <fieldsUsage count="2">
        <fieldUsage x="-1"/>
        <fieldUsage x="3"/>
      </fieldsUsage>
    </cacheHierarchy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7904976851" backgroundQuery="1" createdVersion="8" refreshedVersion="8" minRefreshableVersion="3" recordCount="0" supportSubquery="1" supportAdvancedDrill="1" xr:uid="{6B0F8749-80C9-412F-BB1A-8F8BE083EE8A}">
  <cacheSource type="external" connectionId="1"/>
  <cacheFields count="4">
    <cacheField name="[TBL_Employees].[Gender].[Gender]" caption="Gender" numFmtId="0" hierarchy="5" level="1">
      <sharedItems count="2">
        <s v="Female"/>
        <s v="Male"/>
      </sharedItems>
    </cacheField>
    <cacheField name="[Measures].[Число элементов в столбце EEID]" caption="Число элементов в столбце EEID" numFmtId="0" hierarchy="26" level="32767"/>
    <cacheField name="[TBL_Employees].[Department].[Department]" caption="Department" numFmtId="0" hierarchy="3" level="1">
      <sharedItems containsSemiMixedTypes="0" containsNonDate="0" containsString="0"/>
    </cacheField>
    <cacheField name="[TBL_Employees].[Is Current Worker].[Is Current Worker]" caption="Is Current Worker" numFmtId="0" hierarchy="14" level="1">
      <sharedItems containsSemiMixedTypes="0" containsNonDate="0" containsString="0"/>
    </cacheField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2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2" memberValueDatatype="130" unbalanced="0">
      <fieldsUsage count="2">
        <fieldUsage x="-1"/>
        <fieldUsage x="0"/>
      </fieldsUsage>
    </cacheHierarchy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>
      <fieldsUsage count="2">
        <fieldUsage x="-1"/>
        <fieldUsage x="3"/>
      </fieldsUsage>
    </cacheHierarchy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7905671298" backgroundQuery="1" createdVersion="8" refreshedVersion="8" minRefreshableVersion="3" recordCount="0" supportSubquery="1" supportAdvancedDrill="1" xr:uid="{8D872A38-83C0-47B4-A634-D8076E850289}">
  <cacheSource type="external" connectionId="1"/>
  <cacheFields count="7">
    <cacheField name="[TBL_Employees].[Hire Date].[Hire Date]" caption="Hire Date" numFmtId="0" hierarchy="8" level="1">
      <sharedItems containsSemiMixedTypes="0" containsNonDate="0" containsDate="1" containsString="0" minDate="1992-01-09T00:00:00" maxDate="2021-12-27T00:00:00" count="949">
        <d v="1992-01-09T00:00:00"/>
        <d v="1992-03-19T00:00:00"/>
        <d v="1992-04-01T00:00:00"/>
        <d v="1992-04-08T00:00:00"/>
        <d v="1992-05-04T00:00:00"/>
        <d v="1992-06-15T00:00:00"/>
        <d v="1992-06-30T00:00:00"/>
        <d v="1992-09-28T00:00:00"/>
        <d v="1992-10-13T00:00:00"/>
        <d v="1992-12-20T00:00:00"/>
        <d v="1992-12-26T00:00:00"/>
        <d v="1993-07-26T00:00:00"/>
        <d v="1993-08-28T00:00:00"/>
        <d v="1993-11-17T00:00:00"/>
        <d v="1994-01-03T00:00:00"/>
        <d v="1994-02-18T00:00:00"/>
        <d v="1994-02-23T00:00:00"/>
        <d v="1994-06-20T00:00:00"/>
        <d v="1994-08-21T00:00:00"/>
        <d v="1994-08-30T00:00:00"/>
        <d v="1994-09-15T00:00:00"/>
        <d v="1994-09-18T00:00:00"/>
        <d v="1994-09-26T00:00:00"/>
        <d v="1994-10-09T00:00:00"/>
        <d v="1994-10-16T00:00:00"/>
        <d v="1994-10-24T00:00:00"/>
        <d v="1994-12-24T00:00:00"/>
        <d v="1995-02-16T00:00:00"/>
        <d v="1995-04-13T00:00:00"/>
        <d v="1995-08-04T00:00:00"/>
        <d v="1995-08-29T00:00:00"/>
        <d v="1995-10-27T00:00:00"/>
        <d v="1995-10-29T00:00:00"/>
        <d v="1995-11-16T00:00:00"/>
        <d v="1995-11-20T00:00:00"/>
        <d v="1995-12-22T00:00:00"/>
        <d v="1996-02-14T00:00:00"/>
        <d v="1996-02-18T00:00:00"/>
        <d v="1996-03-29T00:00:00"/>
        <d v="1996-04-02T00:00:00"/>
        <d v="1996-05-02T00:00:00"/>
        <d v="1996-05-15T00:00:00"/>
        <d v="1996-06-14T00:00:00"/>
        <d v="1996-06-22T00:00:00"/>
        <d v="1996-06-26T00:00:00"/>
        <d v="1996-12-04T00:00:00"/>
        <d v="1997-01-26T00:00:00"/>
        <d v="1997-03-11T00:00:00"/>
        <d v="1997-03-13T00:00:00"/>
        <d v="1997-04-12T00:00:00"/>
        <d v="1997-04-23T00:00:00"/>
        <d v="1997-04-28T00:00:00"/>
        <d v="1997-05-26T00:00:00"/>
        <d v="1997-06-20T00:00:00"/>
        <d v="1997-07-30T00:00:00"/>
        <d v="1997-08-19T00:00:00"/>
        <d v="1997-10-23T00:00:00"/>
        <d v="1997-11-29T00:00:00"/>
        <d v="1998-01-21T00:00:00"/>
        <d v="1998-02-26T00:00:00"/>
        <d v="1998-04-01T00:00:00"/>
        <d v="1998-04-02T00:00:00"/>
        <d v="1998-04-22T00:00:00"/>
        <d v="1998-04-28T00:00:00"/>
        <d v="1998-05-04T00:00:00"/>
        <d v="1998-05-18T00:00:00"/>
        <d v="1998-06-15T00:00:00"/>
        <d v="1998-07-14T00:00:00"/>
        <d v="1998-07-16T00:00:00"/>
        <d v="1998-07-20T00:00:00"/>
        <d v="1998-07-22T00:00:00"/>
        <d v="1998-08-03T00:00:00"/>
        <d v="1998-09-03T00:00:00"/>
        <d v="1998-09-24T00:00:00"/>
        <d v="1999-02-19T00:00:00"/>
        <d v="1999-03-10T00:00:00"/>
        <d v="1999-03-13T00:00:00"/>
        <d v="1999-03-14T00:00:00"/>
        <d v="1999-04-22T00:00:00"/>
        <d v="1999-04-25T00:00:00"/>
        <d v="1999-05-23T00:00:00"/>
        <d v="1999-06-20T00:00:00"/>
        <d v="1999-08-02T00:00:00"/>
        <d v="1999-09-13T00:00:00"/>
        <d v="1999-10-09T00:00:00"/>
        <d v="1999-12-29T00:00:00"/>
        <d v="1999-12-31T00:00:00"/>
        <d v="2000-01-29T00:00:00"/>
        <d v="2000-02-28T00:00:00"/>
        <d v="2000-03-02T00:00:00"/>
        <d v="2000-04-01T00:00:00"/>
        <d v="2000-04-28T00:00:00"/>
        <d v="2000-05-07T00:00:00"/>
        <d v="2000-08-16T00:00:00"/>
        <d v="2000-08-17T00:00:00"/>
        <d v="2000-08-19T00:00:00"/>
        <d v="2000-09-01T00:00:00"/>
        <d v="2000-09-24T00:00:00"/>
        <d v="2000-09-29T00:00:00"/>
        <d v="2000-10-24T00:00:00"/>
        <d v="2000-10-27T00:00:00"/>
        <d v="2001-01-02T00:00:00"/>
        <d v="2001-01-23T00:00:00"/>
        <d v="2001-03-06T00:00:00"/>
        <d v="2001-03-27T00:00:00"/>
        <d v="2001-03-29T00:00:00"/>
        <d v="2001-04-02T00:00:00"/>
        <d v="2001-04-09T00:00:00"/>
        <d v="2001-04-12T00:00:00"/>
        <d v="2001-04-15T00:00:00"/>
        <d v="2001-05-03T00:00:00"/>
        <d v="2001-05-30T00:00:00"/>
        <d v="2001-07-19T00:00:00"/>
        <d v="2001-07-20T00:00:00"/>
        <d v="2001-08-23T00:00:00"/>
        <d v="2001-09-10T00:00:00"/>
        <d v="2001-10-17T00:00:00"/>
        <d v="2001-10-20T00:00:00"/>
        <d v="2002-01-09T00:00:00"/>
        <d v="2002-01-15T00:00:00"/>
        <d v="2002-02-08T00:00:00"/>
        <d v="2002-02-09T00:00:00"/>
        <d v="2002-02-11T00:00:00"/>
        <d v="2002-02-17T00:00:00"/>
        <d v="2002-02-26T00:00:00"/>
        <d v="2002-03-01T00:00:00"/>
        <d v="2002-03-04T00:00:00"/>
        <d v="2002-03-28T00:00:00"/>
        <d v="2002-05-23T00:00:00"/>
        <d v="2002-05-24T00:00:00"/>
        <d v="2002-06-11T00:00:00"/>
        <d v="2002-07-08T00:00:00"/>
        <d v="2002-07-09T00:00:00"/>
        <d v="2002-07-19T00:00:00"/>
        <d v="2002-08-16T00:00:00"/>
        <d v="2002-09-20T00:00:00"/>
        <d v="2002-10-21T00:00:00"/>
        <d v="2002-11-16T00:00:00"/>
        <d v="2002-11-22T00:00:00"/>
        <d v="2003-01-15T00:00:00"/>
        <d v="2003-01-17T00:00:00"/>
        <d v="2003-02-10T00:00:00"/>
        <d v="2003-02-28T00:00:00"/>
        <d v="2003-03-25T00:00:00"/>
        <d v="2003-04-15T00:00:00"/>
        <d v="2003-04-22T00:00:00"/>
        <d v="2003-05-08T00:00:00"/>
        <d v="2003-05-14T00:00:00"/>
        <d v="2003-05-21T00:00:00"/>
        <d v="2003-06-24T00:00:00"/>
        <d v="2003-06-26T00:00:00"/>
        <d v="2003-07-26T00:00:00"/>
        <d v="2003-08-11T00:00:00"/>
        <d v="2003-08-22T00:00:00"/>
        <d v="2003-10-20T00:00:00"/>
        <d v="2003-12-01T00:00:00"/>
        <d v="2003-12-07T00:00:00"/>
        <d v="2003-12-17T00:00:00"/>
        <d v="2004-01-14T00:00:00"/>
        <d v="2004-01-18T00:00:00"/>
        <d v="2004-01-27T00:00:00"/>
        <d v="2004-02-10T00:00:00"/>
        <d v="2004-02-25T00:00:00"/>
        <d v="2004-02-29T00:00:00"/>
        <d v="2004-03-11T00:00:00"/>
        <d v="2004-03-14T00:00:00"/>
        <d v="2004-03-20T00:00:00"/>
        <d v="2004-04-16T00:00:00"/>
        <d v="2004-04-19T00:00:00"/>
        <d v="2004-04-30T00:00:00"/>
        <d v="2004-05-14T00:00:00"/>
        <d v="2004-05-16T00:00:00"/>
        <d v="2004-05-23T00:00:00"/>
        <d v="2004-05-28T00:00:00"/>
        <d v="2004-06-07T00:00:00"/>
        <d v="2004-06-30T00:00:00"/>
        <d v="2004-07-08T00:00:00"/>
        <d v="2004-07-20T00:00:00"/>
        <d v="2004-08-15T00:00:00"/>
        <d v="2004-08-19T00:00:00"/>
        <d v="2004-08-20T00:00:00"/>
        <d v="2004-09-14T00:00:00"/>
        <d v="2004-10-11T00:00:00"/>
        <d v="2004-11-10T00:00:00"/>
        <d v="2004-12-07T00:00:00"/>
        <d v="2004-12-11T00:00:00"/>
        <d v="2004-12-23T00:00:00"/>
        <d v="2005-01-28T00:00:00"/>
        <d v="2005-02-05T00:00:00"/>
        <d v="2005-02-08T00:00:00"/>
        <d v="2005-02-09T00:00:00"/>
        <d v="2005-02-15T00:00:00"/>
        <d v="2005-02-23T00:00:00"/>
        <d v="2005-04-11T00:00:00"/>
        <d v="2005-04-12T00:00:00"/>
        <d v="2005-04-22T00:00:00"/>
        <d v="2005-06-10T00:00:00"/>
        <d v="2005-06-18T00:00:00"/>
        <d v="2005-07-07T00:00:00"/>
        <d v="2005-07-27T00:00:00"/>
        <d v="2005-07-31T00:00:00"/>
        <d v="2005-08-09T00:00:00"/>
        <d v="2005-08-20T00:00:00"/>
        <d v="2005-09-18T00:00:00"/>
        <d v="2005-09-28T00:00:00"/>
        <d v="2005-10-07T00:00:00"/>
        <d v="2005-10-14T00:00:00"/>
        <d v="2005-10-15T00:00:00"/>
        <d v="2005-10-17T00:00:00"/>
        <d v="2005-11-08T00:00:00"/>
        <d v="2005-11-11T00:00:00"/>
        <d v="2005-11-28T00:00:00"/>
        <d v="2005-12-10T00:00:00"/>
        <d v="2006-01-31T00:00:00"/>
        <d v="2006-02-23T00:00:00"/>
        <d v="2006-03-01T00:00:00"/>
        <d v="2006-03-16T00:00:00"/>
        <d v="2006-04-06T00:00:00"/>
        <d v="2006-04-12T00:00:00"/>
        <d v="2006-04-18T00:00:00"/>
        <d v="2006-04-28T00:00:00"/>
        <d v="2006-05-10T00:00:00"/>
        <d v="2006-05-29T00:00:00"/>
        <d v="2006-06-11T00:00:00"/>
        <d v="2006-06-20T00:00:00"/>
        <d v="2006-07-11T00:00:00"/>
        <d v="2006-07-21T00:00:00"/>
        <d v="2006-08-16T00:00:00"/>
        <d v="2006-09-07T00:00:00"/>
        <d v="2006-09-17T00:00:00"/>
        <d v="2006-09-24T00:00:00"/>
        <d v="2006-09-27T00:00:00"/>
        <d v="2006-10-05T00:00:00"/>
        <d v="2006-10-12T00:00:00"/>
        <d v="2006-10-15T00:00:00"/>
        <d v="2006-10-26T00:00:00"/>
        <d v="2006-10-28T00:00:00"/>
        <d v="2006-10-31T00:00:00"/>
        <d v="2006-11-28T00:00:00"/>
        <d v="2006-12-12T00:00:00"/>
        <d v="2006-12-13T00:00:00"/>
        <d v="2006-12-18T00:00:00"/>
        <d v="2006-12-29T00:00:00"/>
        <d v="2007-01-09T00:00:00"/>
        <d v="2007-01-27T00:00:00"/>
        <d v="2007-02-20T00:00:00"/>
        <d v="2007-02-24T00:00:00"/>
        <d v="2007-03-06T00:00:00"/>
        <d v="2007-03-13T00:00:00"/>
        <d v="2007-03-15T00:00:00"/>
        <d v="2007-04-05T00:00:00"/>
        <d v="2007-04-13T00:00:00"/>
        <d v="2007-04-25T00:00:00"/>
        <d v="2007-04-29T00:00:00"/>
        <d v="2007-05-02T00:00:00"/>
        <d v="2007-05-27T00:00:00"/>
        <d v="2007-05-30T00:00:00"/>
        <d v="2007-06-19T00:00:00"/>
        <d v="2007-07-02T00:00:00"/>
        <d v="2007-07-30T00:00:00"/>
        <d v="2007-08-08T00:00:00"/>
        <d v="2007-08-11T00:00:00"/>
        <d v="2007-08-16T00:00:00"/>
        <d v="2007-09-05T00:00:00"/>
        <d v="2007-09-07T00:00:00"/>
        <d v="2007-09-10T00:00:00"/>
        <d v="2007-09-22T00:00:00"/>
        <d v="2007-10-02T00:00:00"/>
        <d v="2007-10-12T00:00:00"/>
        <d v="2007-10-24T00:00:00"/>
        <d v="2007-10-27T00:00:00"/>
        <d v="2007-11-05T00:00:00"/>
        <d v="2007-12-02T00:00:00"/>
        <d v="2007-12-21T00:00:00"/>
        <d v="2008-01-24T00:00:00"/>
        <d v="2008-01-27T00:00:00"/>
        <d v="2008-02-09T00:00:00"/>
        <d v="2008-02-15T00:00:00"/>
        <d v="2008-02-28T00:00:00"/>
        <d v="2008-02-29T00:00:00"/>
        <d v="2008-03-12T00:00:00"/>
        <d v="2008-03-21T00:00:00"/>
        <d v="2008-03-25T00:00:00"/>
        <d v="2008-04-06T00:00:00"/>
        <d v="2008-04-15T00:00:00"/>
        <d v="2008-04-30T00:00:00"/>
        <d v="2008-07-05T00:00:00"/>
        <d v="2008-07-06T00:00:00"/>
        <d v="2008-07-11T00:00:00"/>
        <d v="2008-08-21T00:00:00"/>
        <d v="2008-08-29T00:00:00"/>
        <d v="2008-09-10T00:00:00"/>
        <d v="2008-09-17T00:00:00"/>
        <d v="2008-10-07T00:00:00"/>
        <d v="2008-10-13T00:00:00"/>
        <d v="2008-10-18T00:00:00"/>
        <d v="2008-10-26T00:00:00"/>
        <d v="2008-12-18T00:00:00"/>
        <d v="2009-01-07T00:00:00"/>
        <d v="2009-01-17T00:00:00"/>
        <d v="2009-01-28T00:00:00"/>
        <d v="2009-01-30T00:00:00"/>
        <d v="2009-02-11T00:00:00"/>
        <d v="2009-02-28T00:00:00"/>
        <d v="2009-03-13T00:00:00"/>
        <d v="2009-03-15T00:00:00"/>
        <d v="2009-04-05T00:00:00"/>
        <d v="2009-04-09T00:00:00"/>
        <d v="2009-04-27T00:00:00"/>
        <d v="2009-04-28T00:00:00"/>
        <d v="2009-05-11T00:00:00"/>
        <d v="2009-05-27T00:00:00"/>
        <d v="2009-06-04T00:00:00"/>
        <d v="2009-06-27T00:00:00"/>
        <d v="2009-06-30T00:00:00"/>
        <d v="2009-08-04T00:00:00"/>
        <d v="2009-08-15T00:00:00"/>
        <d v="2009-08-20T00:00:00"/>
        <d v="2009-09-04T00:00:00"/>
        <d v="2009-09-20T00:00:00"/>
        <d v="2009-09-27T00:00:00"/>
        <d v="2009-10-05T00:00:00"/>
        <d v="2009-10-06T00:00:00"/>
        <d v="2009-10-23T00:00:00"/>
        <d v="2009-12-12T00:00:00"/>
        <d v="2009-12-23T00:00:00"/>
        <d v="2010-01-14T00:00:00"/>
        <d v="2010-01-15T00:00:00"/>
        <d v="2010-02-24T00:00:00"/>
        <d v="2010-02-26T00:00:00"/>
        <d v="2010-03-11T00:00:00"/>
        <d v="2010-03-16T00:00:00"/>
        <d v="2010-04-04T00:00:00"/>
        <d v="2010-04-06T00:00:00"/>
        <d v="2010-04-19T00:00:00"/>
        <d v="2010-04-22T00:00:00"/>
        <d v="2010-04-23T00:00:00"/>
        <d v="2010-04-24T00:00:00"/>
        <d v="2010-04-25T00:00:00"/>
        <d v="2010-04-29T00:00:00"/>
        <d v="2010-05-07T00:00:00"/>
        <d v="2010-05-09T00:00:00"/>
        <d v="2010-05-21T00:00:00"/>
        <d v="2010-05-31T00:00:00"/>
        <d v="2010-06-04T00:00:00"/>
        <d v="2010-06-11T00:00:00"/>
        <d v="2010-06-15T00:00:00"/>
        <d v="2010-07-01T00:00:00"/>
        <d v="2010-07-19T00:00:00"/>
        <d v="2010-07-24T00:00:00"/>
        <d v="2010-07-30T00:00:00"/>
        <d v="2010-08-23T00:00:00"/>
        <d v="2010-08-28T00:00:00"/>
        <d v="2010-09-10T00:00:00"/>
        <d v="2010-09-13T00:00:00"/>
        <d v="2010-09-14T00:00:00"/>
        <d v="2010-10-12T00:00:00"/>
        <d v="2010-10-17T00:00:00"/>
        <d v="2010-11-04T00:00:00"/>
        <d v="2010-11-29T00:00:00"/>
        <d v="2010-12-05T00:00:00"/>
        <d v="2010-12-10T00:00:00"/>
        <d v="2010-12-12T00:00:00"/>
        <d v="2010-12-23T00:00:00"/>
        <d v="2010-12-28T00:00:00"/>
        <d v="2010-12-30T00:00:00"/>
        <d v="2011-01-09T00:00:00"/>
        <d v="2011-01-17T00:00:00"/>
        <d v="2011-01-20T00:00:00"/>
        <d v="2011-01-22T00:00:00"/>
        <d v="2011-02-14T00:00:00"/>
        <d v="2011-02-17T00:00:00"/>
        <d v="2011-02-19T00:00:00"/>
        <d v="2011-02-22T00:00:00"/>
        <d v="2011-03-01T00:00:00"/>
        <d v="2011-03-16T00:00:00"/>
        <d v="2011-03-18T00:00:00"/>
        <d v="2011-04-24T00:00:00"/>
        <d v="2011-04-30T00:00:00"/>
        <d v="2011-05-15T00:00:00"/>
        <d v="2011-05-18T00:00:00"/>
        <d v="2011-05-20T00:00:00"/>
        <d v="2011-05-22T00:00:00"/>
        <d v="2011-05-29T00:00:00"/>
        <d v="2011-06-17T00:00:00"/>
        <d v="2011-06-25T00:00:00"/>
        <d v="2011-07-10T00:00:00"/>
        <d v="2011-07-20T00:00:00"/>
        <d v="2011-07-21T00:00:00"/>
        <d v="2011-07-26T00:00:00"/>
        <d v="2011-08-23T00:00:00"/>
        <d v="2011-09-07T00:00:00"/>
        <d v="2011-09-24T00:00:00"/>
        <d v="2011-10-04T00:00:00"/>
        <d v="2011-10-10T00:00:00"/>
        <d v="2011-10-20T00:00:00"/>
        <d v="2011-11-09T00:00:00"/>
        <d v="2011-11-21T00:00:00"/>
        <d v="2011-11-28T00:00:00"/>
        <d v="2011-12-06T00:00:00"/>
        <d v="2011-12-17T00:00:00"/>
        <d v="2011-12-22T00:00:00"/>
        <d v="2012-01-09T00:00:00"/>
        <d v="2012-01-21T00:00:00"/>
        <d v="2012-01-28T00:00:00"/>
        <d v="2012-02-05T00:00:00"/>
        <d v="2012-02-13T00:00:00"/>
        <d v="2012-02-25T00:00:00"/>
        <d v="2012-02-28T00:00:00"/>
        <d v="2012-03-11T00:00:00"/>
        <d v="2012-03-15T00:00:00"/>
        <d v="2012-03-16T00:00:00"/>
        <d v="2012-04-14T00:00:00"/>
        <d v="2012-04-25T00:00:00"/>
        <d v="2012-04-27T00:00:00"/>
        <d v="2012-04-29T00:00:00"/>
        <d v="2012-05-03T00:00:00"/>
        <d v="2012-05-11T00:00:00"/>
        <d v="2012-05-14T00:00:00"/>
        <d v="2012-05-19T00:00:00"/>
        <d v="2012-06-06T00:00:00"/>
        <d v="2012-06-11T00:00:00"/>
        <d v="2012-06-25T00:00:00"/>
        <d v="2012-07-09T00:00:00"/>
        <d v="2012-07-23T00:00:00"/>
        <d v="2012-07-26T00:00:00"/>
        <d v="2012-08-06T00:00:00"/>
        <d v="2012-08-09T00:00:00"/>
        <d v="2012-08-10T00:00:00"/>
        <d v="2012-09-03T00:00:00"/>
        <d v="2012-10-17T00:00:00"/>
        <d v="2012-10-20T00:00:00"/>
        <d v="2012-10-22T00:00:00"/>
        <d v="2012-10-26T00:00:00"/>
        <d v="2012-11-24T00:00:00"/>
        <d v="2012-12-13T00:00:00"/>
        <d v="2012-12-21T00:00:00"/>
        <d v="2012-12-24T00:00:00"/>
        <d v="2013-01-20T00:00:00"/>
        <d v="2013-02-10T00:00:00"/>
        <d v="2013-02-13T00:00:00"/>
        <d v="2013-02-24T00:00:00"/>
        <d v="2013-02-28T00:00:00"/>
        <d v="2013-03-13T00:00:00"/>
        <d v="2013-03-20T00:00:00"/>
        <d v="2013-03-29T00:00:00"/>
        <d v="2013-03-30T00:00:00"/>
        <d v="2013-04-15T00:00:00"/>
        <d v="2013-04-18T00:00:00"/>
        <d v="2013-04-22T00:00:00"/>
        <d v="2013-05-10T00:00:00"/>
        <d v="2013-05-15T00:00:00"/>
        <d v="2013-05-23T00:00:00"/>
        <d v="2013-06-03T00:00:00"/>
        <d v="2013-06-04T00:00:00"/>
        <d v="2013-06-14T00:00:00"/>
        <d v="2013-06-21T00:00:00"/>
        <d v="2013-06-26T00:00:00"/>
        <d v="2013-06-29T00:00:00"/>
        <d v="2013-07-13T00:00:00"/>
        <d v="2013-07-18T00:00:00"/>
        <d v="2013-08-07T00:00:00"/>
        <d v="2013-08-13T00:00:00"/>
        <d v="2013-08-17T00:00:00"/>
        <d v="2013-08-21T00:00:00"/>
        <d v="2013-08-25T00:00:00"/>
        <d v="2013-08-30T00:00:00"/>
        <d v="2013-09-08T00:00:00"/>
        <d v="2013-09-11T00:00:00"/>
        <d v="2013-09-26T00:00:00"/>
        <d v="2013-10-18T00:00:00"/>
        <d v="2013-11-03T00:00:00"/>
        <d v="2013-11-12T00:00:00"/>
        <d v="2013-11-14T00:00:00"/>
        <d v="2013-11-16T00:00:00"/>
        <d v="2013-11-23T00:00:00"/>
        <d v="2013-12-27T00:00:00"/>
        <d v="2014-01-03T00:00:00"/>
        <d v="2014-01-08T00:00:00"/>
        <d v="2014-01-10T00:00:00"/>
        <d v="2014-01-11T00:00:00"/>
        <d v="2014-01-16T00:00:00"/>
        <d v="2014-01-23T00:00:00"/>
        <d v="2014-02-05T00:00:00"/>
        <d v="2014-02-10T00:00:00"/>
        <d v="2014-02-11T00:00:00"/>
        <d v="2014-02-20T00:00:00"/>
        <d v="2014-02-22T00:00:00"/>
        <d v="2014-02-25T00:00:00"/>
        <d v="2014-02-27T00:00:00"/>
        <d v="2014-03-02T00:00:00"/>
        <d v="2014-03-05T00:00:00"/>
        <d v="2014-03-08T00:00:00"/>
        <d v="2014-03-14T00:00:00"/>
        <d v="2014-03-16T00:00:00"/>
        <d v="2014-03-19T00:00:00"/>
        <d v="2014-04-13T00:00:00"/>
        <d v="2014-04-19T00:00:00"/>
        <d v="2014-04-20T00:00:00"/>
        <d v="2014-04-27T00:00:00"/>
        <d v="2014-05-10T00:00:00"/>
        <d v="2014-05-14T00:00:00"/>
        <d v="2014-05-30T00:00:00"/>
        <d v="2014-06-20T00:00:00"/>
        <d v="2014-06-23T00:00:00"/>
        <d v="2014-06-26T00:00:00"/>
        <d v="2014-06-29T00:00:00"/>
        <d v="2014-07-10T00:00:00"/>
        <d v="2014-07-19T00:00:00"/>
        <d v="2014-07-29T00:00:00"/>
        <d v="2014-08-07T00:00:00"/>
        <d v="2014-08-10T00:00:00"/>
        <d v="2014-08-28T00:00:00"/>
        <d v="2014-09-04T00:00:00"/>
        <d v="2014-09-16T00:00:00"/>
        <d v="2014-09-22T00:00:00"/>
        <d v="2014-09-25T00:00:00"/>
        <d v="2014-10-03T00:00:00"/>
        <d v="2014-10-04T00:00:00"/>
        <d v="2014-10-07T00:00:00"/>
        <d v="2014-10-16T00:00:00"/>
        <d v="2014-10-19T00:00:00"/>
        <d v="2014-10-29T00:00:00"/>
        <d v="2014-11-21T00:00:00"/>
        <d v="2014-11-29T00:00:00"/>
        <d v="2014-11-30T00:00:00"/>
        <d v="2014-12-04T00:00:00"/>
        <d v="2015-01-14T00:00:00"/>
        <d v="2015-01-22T00:00:00"/>
        <d v="2015-01-27T00:00:00"/>
        <d v="2015-02-18T00:00:00"/>
        <d v="2015-03-01T00:00:00"/>
        <d v="2015-03-05T00:00:00"/>
        <d v="2015-03-15T00:00:00"/>
        <d v="2015-03-27T00:00:00"/>
        <d v="2015-04-07T00:00:00"/>
        <d v="2015-04-14T00:00:00"/>
        <d v="2015-04-17T00:00:00"/>
        <d v="2015-04-19T00:00:00"/>
        <d v="2015-04-22T00:00:00"/>
        <d v="2015-04-23T00:00:00"/>
        <d v="2015-05-05T00:00:00"/>
        <d v="2015-06-09T00:00:00"/>
        <d v="2015-06-10T00:00:00"/>
        <d v="2015-06-11T00:00:00"/>
        <d v="2015-06-13T00:00:00"/>
        <d v="2015-06-14T00:00:00"/>
        <d v="2015-06-18T00:00:00"/>
        <d v="2015-06-27T00:00:00"/>
        <d v="2015-06-29T00:00:00"/>
        <d v="2015-07-10T00:00:00"/>
        <d v="2015-07-12T00:00:00"/>
        <d v="2015-07-16T00:00:00"/>
        <d v="2015-07-29T00:00:00"/>
        <d v="2015-08-03T00:00:00"/>
        <d v="2015-08-12T00:00:00"/>
        <d v="2015-08-29T00:00:00"/>
        <d v="2015-09-03T00:00:00"/>
        <d v="2015-09-19T00:00:00"/>
        <d v="2015-09-23T00:00:00"/>
        <d v="2015-09-24T00:00:00"/>
        <d v="2015-09-29T00:00:00"/>
        <d v="2015-10-08T00:00:00"/>
        <d v="2015-10-14T00:00:00"/>
        <d v="2015-11-09T00:00:00"/>
        <d v="2015-11-10T00:00:00"/>
        <d v="2015-11-14T00:00:00"/>
        <d v="2015-11-17T00:00:00"/>
        <d v="2015-11-21T00:00:00"/>
        <d v="2015-12-09T00:00:00"/>
        <d v="2015-12-19T00:00:00"/>
        <d v="2015-12-27T00:00:00"/>
        <d v="2016-01-10T00:00:00"/>
        <d v="2016-01-15T00:00:00"/>
        <d v="2016-01-18T00:00:00"/>
        <d v="2016-02-05T00:00:00"/>
        <d v="2016-02-16T00:00:00"/>
        <d v="2016-02-28T00:00:00"/>
        <d v="2016-03-08T00:00:00"/>
        <d v="2016-03-12T00:00:00"/>
        <d v="2016-03-14T00:00:00"/>
        <d v="2016-04-07T00:00:00"/>
        <d v="2016-04-08T00:00:00"/>
        <d v="2016-04-24T00:00:00"/>
        <d v="2016-04-26T00:00:00"/>
        <d v="2016-04-27T00:00:00"/>
        <d v="2016-04-29T00:00:00"/>
        <d v="2016-05-02T00:00:00"/>
        <d v="2016-05-03T00:00:00"/>
        <d v="2016-05-04T00:00:00"/>
        <d v="2016-05-07T00:00:00"/>
        <d v="2016-05-19T00:00:00"/>
        <d v="2016-05-22T00:00:00"/>
        <d v="2016-05-24T00:00:00"/>
        <d v="2016-05-26T00:00:00"/>
        <d v="2016-06-12T00:00:00"/>
        <d v="2016-06-22T00:00:00"/>
        <d v="2016-06-24T00:00:00"/>
        <d v="2016-08-20T00:00:00"/>
        <d v="2016-08-21T00:00:00"/>
        <d v="2016-08-23T00:00:00"/>
        <d v="2016-09-03T00:00:00"/>
        <d v="2016-09-09T00:00:00"/>
        <d v="2016-09-13T00:00:00"/>
        <d v="2016-09-18T00:00:00"/>
        <d v="2016-09-21T00:00:00"/>
        <d v="2016-09-29T00:00:00"/>
        <d v="2016-10-13T00:00:00"/>
        <d v="2016-10-21T00:00:00"/>
        <d v="2016-10-24T00:00:00"/>
        <d v="2016-11-02T00:00:00"/>
        <d v="2016-11-03T00:00:00"/>
        <d v="2016-11-09T00:00:00"/>
        <d v="2016-11-11T00:00:00"/>
        <d v="2016-11-17T00:00:00"/>
        <d v="2016-11-22T00:00:00"/>
        <d v="2016-11-28T00:00:00"/>
        <d v="2016-12-02T00:00:00"/>
        <d v="2016-12-07T00:00:00"/>
        <d v="2016-12-17T00:00:00"/>
        <d v="2016-12-18T00:00:00"/>
        <d v="2016-12-27T00:00:00"/>
        <d v="2017-01-03T00:00:00"/>
        <d v="2017-01-04T00:00:00"/>
        <d v="2017-01-05T00:00:00"/>
        <d v="2017-01-09T00:00:00"/>
        <d v="2017-01-10T00:00:00"/>
        <d v="2017-01-18T00:00:00"/>
        <d v="2017-01-20T00:00:00"/>
        <d v="2017-01-24T00:00:00"/>
        <d v="2017-01-26T00:00:00"/>
        <d v="2017-01-29T00:00:00"/>
        <d v="2017-02-06T00:00:00"/>
        <d v="2017-02-10T00:00:00"/>
        <d v="2017-02-11T00:00:00"/>
        <d v="2017-02-12T00:00:00"/>
        <d v="2017-02-14T00:00:00"/>
        <d v="2017-02-19T00:00:00"/>
        <d v="2017-03-06T00:00:00"/>
        <d v="2017-03-10T00:00:00"/>
        <d v="2017-03-16T00:00:00"/>
        <d v="2017-03-25T00:00:00"/>
        <d v="2017-04-14T00:00:00"/>
        <d v="2017-04-18T00:00:00"/>
        <d v="2017-04-24T00:00:00"/>
        <d v="2017-05-03T00:00:00"/>
        <d v="2017-05-11T00:00:00"/>
        <d v="2017-05-12T00:00:00"/>
        <d v="2017-05-22T00:00:00"/>
        <d v="2017-05-23T00:00:00"/>
        <d v="2017-05-29T00:00:00"/>
        <d v="2017-06-05T00:00:00"/>
        <d v="2017-06-12T00:00:00"/>
        <d v="2017-06-25T00:00:00"/>
        <d v="2017-06-26T00:00:00"/>
        <d v="2017-06-28T00:00:00"/>
        <d v="2017-07-06T00:00:00"/>
        <d v="2017-07-12T00:00:00"/>
        <d v="2017-07-22T00:00:00"/>
        <d v="2017-08-04T00:00:00"/>
        <d v="2017-08-05T00:00:00"/>
        <d v="2017-08-10T00:00:00"/>
        <d v="2017-08-13T00:00:00"/>
        <d v="2017-08-16T00:00:00"/>
        <d v="2017-08-25T00:00:00"/>
        <d v="2017-09-05T00:00:00"/>
        <d v="2017-09-07T00:00:00"/>
        <d v="2017-09-14T00:00:00"/>
        <d v="2017-09-17T00:00:00"/>
        <d v="2017-09-21T00:00:00"/>
        <d v="2017-09-24T00:00:00"/>
        <d v="2017-09-26T00:00:00"/>
        <d v="2017-09-28T00:00:00"/>
        <d v="2017-10-02T00:00:00"/>
        <d v="2017-10-05T00:00:00"/>
        <d v="2017-10-20T00:00:00"/>
        <d v="2017-10-21T00:00:00"/>
        <d v="2017-11-03T00:00:00"/>
        <d v="2017-11-04T00:00:00"/>
        <d v="2017-11-09T00:00:00"/>
        <d v="2017-11-16T00:00:00"/>
        <d v="2017-11-19T00:00:00"/>
        <d v="2017-11-22T00:00:00"/>
        <d v="2017-11-23T00:00:00"/>
        <d v="2017-12-16T00:00:00"/>
        <d v="2017-12-17T00:00:00"/>
        <d v="2018-01-02T00:00:00"/>
        <d v="2018-01-03T00:00:00"/>
        <d v="2018-01-11T00:00:00"/>
        <d v="2018-01-14T00:00:00"/>
        <d v="2018-01-21T00:00:00"/>
        <d v="2018-01-22T00:00:00"/>
        <d v="2018-02-15T00:00:00"/>
        <d v="2018-02-16T00:00:00"/>
        <d v="2018-02-26T00:00:00"/>
        <d v="2018-03-06T00:00:00"/>
        <d v="2018-03-10T00:00:00"/>
        <d v="2018-03-12T00:00:00"/>
        <d v="2018-03-16T00:00:00"/>
        <d v="2018-03-19T00:00:00"/>
        <d v="2018-03-26T00:00:00"/>
        <d v="2018-04-21T00:00:00"/>
        <d v="2018-04-22T00:00:00"/>
        <d v="2018-04-27T00:00:00"/>
        <d v="2018-04-29T00:00:00"/>
        <d v="2018-05-04T00:00:00"/>
        <d v="2018-05-06T00:00:00"/>
        <d v="2018-05-07T00:00:00"/>
        <d v="2018-05-09T00:00:00"/>
        <d v="2018-05-14T00:00:00"/>
        <d v="2018-05-19T00:00:00"/>
        <d v="2018-05-20T00:00:00"/>
        <d v="2018-05-27T00:00:00"/>
        <d v="2018-05-28T00:00:00"/>
        <d v="2018-06-02T00:00:00"/>
        <d v="2018-06-04T00:00:00"/>
        <d v="2018-06-13T00:00:00"/>
        <d v="2018-06-21T00:00:00"/>
        <d v="2018-06-25T00:00:00"/>
        <d v="2018-07-18T00:00:00"/>
        <d v="2018-07-24T00:00:00"/>
        <d v="2018-07-28T00:00:00"/>
        <d v="2018-08-10T00:00:00"/>
        <d v="2018-08-13T00:00:00"/>
        <d v="2018-08-18T00:00:00"/>
        <d v="2018-08-24T00:00:00"/>
        <d v="2018-09-02T00:00:00"/>
        <d v="2018-09-11T00:00:00"/>
        <d v="2018-09-15T00:00:00"/>
        <d v="2018-09-20T00:00:00"/>
        <d v="2018-09-25T00:00:00"/>
        <d v="2018-09-28T00:00:00"/>
        <d v="2018-10-02T00:00:00"/>
        <d v="2018-10-06T00:00:00"/>
        <d v="2018-10-24T00:00:00"/>
        <d v="2018-10-27T00:00:00"/>
        <d v="2018-11-09T00:00:00"/>
        <d v="2018-11-10T00:00:00"/>
        <d v="2018-11-14T00:00:00"/>
        <d v="2018-12-05T00:00:00"/>
        <d v="2018-12-06T00:00:00"/>
        <d v="2018-12-07T00:00:00"/>
        <d v="2018-12-10T00:00:00"/>
        <d v="2018-12-13T00:00:00"/>
        <d v="2018-12-14T00:00:00"/>
        <d v="2018-12-18T00:00:00"/>
        <d v="2018-12-22T00:00:00"/>
        <d v="2018-12-27T00:00:00"/>
        <d v="2019-01-02T00:00:00"/>
        <d v="2019-01-19T00:00:00"/>
        <d v="2019-01-23T00:00:00"/>
        <d v="2019-01-24T00:00:00"/>
        <d v="2019-01-25T00:00:00"/>
        <d v="2019-01-28T00:00:00"/>
        <d v="2019-02-06T00:00:00"/>
        <d v="2019-02-19T00:00:00"/>
        <d v="2019-02-24T00:00:00"/>
        <d v="2019-02-25T00:00:00"/>
        <d v="2019-03-03T00:00:00"/>
        <d v="2019-03-06T00:00:00"/>
        <d v="2019-03-12T00:00:00"/>
        <d v="2019-03-18T00:00:00"/>
        <d v="2019-03-29T00:00:00"/>
        <d v="2019-04-02T00:00:00"/>
        <d v="2019-04-14T00:00:00"/>
        <d v="2019-04-23T00:00:00"/>
        <d v="2019-04-26T00:00:00"/>
        <d v="2019-05-09T00:00:00"/>
        <d v="2019-05-15T00:00:00"/>
        <d v="2019-05-24T00:00:00"/>
        <d v="2019-05-25T00:00:00"/>
        <d v="2019-05-28T00:00:00"/>
        <d v="2019-06-07T00:00:00"/>
        <d v="2019-06-10T00:00:00"/>
        <d v="2019-06-17T00:00:00"/>
        <d v="2019-06-19T00:00:00"/>
        <d v="2019-06-22T00:00:00"/>
        <d v="2019-07-04T00:00:00"/>
        <d v="2019-07-06T00:00:00"/>
        <d v="2019-07-10T00:00:00"/>
        <d v="2019-07-13T00:00:00"/>
        <d v="2019-07-25T00:00:00"/>
        <d v="2019-07-27T00:00:00"/>
        <d v="2019-08-08T00:00:00"/>
        <d v="2019-08-18T00:00:00"/>
        <d v="2019-08-21T00:00:00"/>
        <d v="2019-08-24T00:00:00"/>
        <d v="2019-08-26T00:00:00"/>
        <d v="2019-09-05T00:00:00"/>
        <d v="2019-09-07T00:00:00"/>
        <d v="2019-09-13T00:00:00"/>
        <d v="2019-09-20T00:00:00"/>
        <d v="2019-09-21T00:00:00"/>
        <d v="2019-09-24T00:00:00"/>
        <d v="2019-09-27T00:00:00"/>
        <d v="2019-10-14T00:00:00"/>
        <d v="2019-10-15T00:00:00"/>
        <d v="2019-10-18T00:00:00"/>
        <d v="2019-10-20T00:00:00"/>
        <d v="2019-10-25T00:00:00"/>
        <d v="2019-11-03T00:00:00"/>
        <d v="2019-11-04T00:00:00"/>
        <d v="2019-11-07T00:00:00"/>
        <d v="2019-11-09T00:00:00"/>
        <d v="2019-11-29T00:00:00"/>
        <d v="2019-12-05T00:00:00"/>
        <d v="2019-12-10T00:00:00"/>
        <d v="2019-12-11T00:00:00"/>
        <d v="2019-12-16T00:00:00"/>
        <d v="2019-12-19T00:00:00"/>
        <d v="2019-12-20T00:00:00"/>
        <d v="2019-12-25T00:00:00"/>
        <d v="2020-01-05T00:00:00"/>
        <d v="2020-01-13T00:00:00"/>
        <d v="2020-01-14T00:00:00"/>
        <d v="2020-01-17T00:00:00"/>
        <d v="2020-01-20T00:00:00"/>
        <d v="2020-02-02T00:00:00"/>
        <d v="2020-02-03T00:00:00"/>
        <d v="2020-02-05T00:00:00"/>
        <d v="2020-02-07T00:00:00"/>
        <d v="2020-02-17T00:00:00"/>
        <d v="2020-03-08T00:00:00"/>
        <d v="2020-03-13T00:00:00"/>
        <d v="2020-03-14T00:00:00"/>
        <d v="2020-04-09T00:00:00"/>
        <d v="2020-04-14T00:00:00"/>
        <d v="2020-04-15T00:00:00"/>
        <d v="2020-04-16T00:00:00"/>
        <d v="2020-04-22T00:00:00"/>
        <d v="2020-04-23T00:00:00"/>
        <d v="2020-04-27T00:00:00"/>
        <d v="2020-05-09T00:00:00"/>
        <d v="2020-05-15T00:00:00"/>
        <d v="2020-05-16T00:00:00"/>
        <d v="2020-05-18T00:00:00"/>
        <d v="2020-05-26T00:00:00"/>
        <d v="2020-06-08T00:00:00"/>
        <d v="2020-06-14T00:00:00"/>
        <d v="2020-06-17T00:00:00"/>
        <d v="2020-06-27T00:00:00"/>
        <d v="2020-07-01T00:00:00"/>
        <d v="2020-07-02T00:00:00"/>
        <d v="2020-07-03T00:00:00"/>
        <d v="2020-07-10T00:00:00"/>
        <d v="2020-07-12T00:00:00"/>
        <d v="2020-07-13T00:00:00"/>
        <d v="2020-07-18T00:00:00"/>
        <d v="2020-07-20T00:00:00"/>
        <d v="2020-07-22T00:00:00"/>
        <d v="2020-07-24T00:00:00"/>
        <d v="2020-07-26T00:00:00"/>
        <d v="2020-07-28T00:00:00"/>
        <d v="2020-08-08T00:00:00"/>
        <d v="2020-08-09T00:00:00"/>
        <d v="2020-08-15T00:00:00"/>
        <d v="2020-08-20T00:00:00"/>
        <d v="2020-08-26T00:00:00"/>
        <d v="2020-09-04T00:00:00"/>
        <d v="2020-09-12T00:00:00"/>
        <d v="2020-09-18T00:00:00"/>
        <d v="2020-09-20T00:00:00"/>
        <d v="2020-09-21T00:00:00"/>
        <d v="2020-09-25T00:00:00"/>
        <d v="2020-09-27T00:00:00"/>
        <d v="2020-10-09T00:00:00"/>
        <d v="2020-10-20T00:00:00"/>
        <d v="2020-10-21T00:00:00"/>
        <d v="2020-11-08T00:00:00"/>
        <d v="2020-11-18T00:00:00"/>
        <d v="2020-12-16T00:00:00"/>
        <d v="2020-12-24T00:00:00"/>
        <d v="2020-12-27T00:00:00"/>
        <d v="2021-01-02T00:00:00"/>
        <d v="2021-01-08T00:00:00"/>
        <d v="2021-01-10T00:00:00"/>
        <d v="2021-01-17T00:00:00"/>
        <d v="2021-01-18T00:00:00"/>
        <d v="2021-01-21T00:00:00"/>
        <d v="2021-01-22T00:00:00"/>
        <d v="2021-01-23T00:00:00"/>
        <d v="2021-01-25T00:00:00"/>
        <d v="2021-01-28T00:00:00"/>
        <d v="2021-02-05T00:00:00"/>
        <d v="2021-02-08T00:00:00"/>
        <d v="2021-02-09T00:00:00"/>
        <d v="2021-02-10T00:00:00"/>
        <d v="2021-02-14T00:00:00"/>
        <d v="2021-02-23T00:00:00"/>
        <d v="2021-02-24T00:00:00"/>
        <d v="2021-03-02T00:00:00"/>
        <d v="2021-03-11T00:00:00"/>
        <d v="2021-03-12T00:00:00"/>
        <d v="2021-03-15T00:00:00"/>
        <d v="2021-03-16T00:00:00"/>
        <d v="2021-03-17T00:00:00"/>
        <d v="2021-03-19T00:00:00"/>
        <d v="2021-03-21T00:00:00"/>
        <d v="2021-03-28T00:00:00"/>
        <d v="2021-04-02T00:00:00"/>
        <d v="2021-04-09T00:00:00"/>
        <d v="2021-04-11T00:00:00"/>
        <d v="2021-04-16T00:00:00"/>
        <d v="2021-04-17T00:00:00"/>
        <d v="2021-04-18T00:00:00"/>
        <d v="2021-04-22T00:00:00"/>
        <d v="2021-04-28T00:00:00"/>
        <d v="2021-05-09T00:00:00"/>
        <d v="2021-05-11T00:00:00"/>
        <d v="2021-06-10T00:00:00"/>
        <d v="2021-06-15T00:00:00"/>
        <d v="2021-06-23T00:00:00"/>
        <d v="2021-06-27T00:00:00"/>
        <d v="2021-06-28T00:00:00"/>
        <d v="2021-07-02T00:00:00"/>
        <d v="2021-07-03T00:00:00"/>
        <d v="2021-07-08T00:00:00"/>
        <d v="2021-07-16T00:00:00"/>
        <d v="2021-07-18T00:00:00"/>
        <d v="2021-07-25T00:00:00"/>
        <d v="2021-07-26T00:00:00"/>
        <d v="2021-07-28T00:00:00"/>
        <d v="2021-08-02T00:00:00"/>
        <d v="2021-08-11T00:00:00"/>
        <d v="2021-08-25T00:00:00"/>
        <d v="2021-08-27T00:00:00"/>
        <d v="2021-09-06T00:00:00"/>
        <d v="2021-09-14T00:00:00"/>
        <d v="2021-09-15T00:00:00"/>
        <d v="2021-09-21T00:00:00"/>
        <d v="2021-09-22T00:00:00"/>
        <d v="2021-09-26T00:00:00"/>
        <d v="2021-10-02T00:00:00"/>
        <d v="2021-10-05T00:00:00"/>
        <d v="2021-10-08T00:00:00"/>
        <d v="2021-10-09T00:00:00"/>
        <d v="2021-10-13T00:00:00"/>
        <d v="2021-10-17T00:00:00"/>
        <d v="2021-10-21T00:00:00"/>
        <d v="2021-10-26T00:00:00"/>
        <d v="2021-11-15T00:00:00"/>
        <d v="2021-11-16T00:00:00"/>
        <d v="2021-11-19T00:00:00"/>
        <d v="2021-11-21T00:00:00"/>
        <d v="2021-12-15T00:00:00"/>
        <d v="2021-12-18T00:00:00"/>
        <d v="2021-12-19T00:00:00"/>
        <d v="2021-12-24T00:00:00"/>
        <d v="2021-12-26T00:00:00"/>
      </sharedItems>
    </cacheField>
    <cacheField name="[TBL_Employees].[Hire Date (Месяц)].[Hire Date (Месяц)]" caption="Hire Date (Месяц)" numFmtId="0" hierarchy="17" level="1">
      <sharedItems containsNonDate="0" count="12">
        <s v="янв"/>
        <s v="мар"/>
        <s v="апр"/>
        <s v="май"/>
        <s v="июн"/>
        <s v="сен"/>
        <s v="окт"/>
        <s v="дек"/>
        <s v="июл"/>
        <s v="авг"/>
        <s v="ноя"/>
        <s v="фев"/>
      </sharedItems>
    </cacheField>
    <cacheField name="[TBL_Employees].[Hire Date (Квартал)].[Hire Date (Квартал)]" caption="Hire Date (Квартал)" numFmtId="0" hierarchy="16" level="1">
      <sharedItems containsNonDate="0" count="4">
        <s v="Квартал1"/>
        <s v="Квартал2"/>
        <s v="Квартал3"/>
        <s v="Квартал4"/>
      </sharedItems>
    </cacheField>
    <cacheField name="[TBL_Employees].[Hire Date (Год)].[Hire Date (Год)]" caption="Hire Date (Год)" numFmtId="0" hierarchy="15" level="1">
      <sharedItems count="28">
        <s v="1992"/>
        <s v="1994"/>
        <s v="1995"/>
        <s v="1996"/>
        <s v="1997"/>
        <s v="1998"/>
        <s v="1999"/>
        <s v="2001"/>
        <s v="2002"/>
        <s v="2003"/>
        <s v="2004"/>
        <s v="2005"/>
        <s v="2006"/>
        <s v="2007"/>
        <s v="2008"/>
        <s v="2009"/>
        <s v="2010"/>
        <s v="2011"/>
        <s v="2012"/>
        <s v="2013"/>
        <s v="2014"/>
        <s v="2015"/>
        <s v="2016"/>
        <s v="2017"/>
        <s v="2018"/>
        <s v="2019"/>
        <s v="2020"/>
        <s v="2021"/>
      </sharedItems>
    </cacheField>
    <cacheField name="[Measures].[Число элементов в столбце EEID]" caption="Число элементов в столбце EEID" numFmtId="0" hierarchy="26" level="32767"/>
    <cacheField name="[TBL_Employees].[Department].[Department]" caption="Department" numFmtId="0" hierarchy="3" level="1">
      <sharedItems containsSemiMixedTypes="0" containsNonDate="0" containsString="0"/>
    </cacheField>
    <cacheField name="[TBL_Employees].[Is Current Worker].[Is Current Worker]" caption="Is Current Worker" numFmtId="0" hierarchy="14" level="1">
      <sharedItems containsSemiMixedTypes="0" containsNonDate="0" containsString="0"/>
    </cacheField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5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2" memberValueDatatype="7" unbalanced="0">
      <fieldsUsage count="2">
        <fieldUsage x="-1"/>
        <fieldUsage x="0"/>
      </fieldsUsage>
    </cacheHierarchy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>
      <fieldsUsage count="2">
        <fieldUsage x="-1"/>
        <fieldUsage x="6"/>
      </fieldsUsage>
    </cacheHierarchy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2" memberValueDatatype="130" unbalanced="0">
      <fieldsUsage count="2">
        <fieldUsage x="-1"/>
        <fieldUsage x="3"/>
      </fieldsUsage>
    </cacheHierarchy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2" memberValueDatatype="130" unbalanced="0">
      <fieldsUsage count="2">
        <fieldUsage x="-1"/>
        <fieldUsage x="2"/>
      </fieldsUsage>
    </cacheHierarchy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2" memberValueDatatype="130" unbalanced="0">
      <fieldsUsage count="2">
        <fieldUsage x="-1"/>
        <fieldUsage x="1"/>
      </fieldsUsage>
    </cacheHierarchy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7906365744" backgroundQuery="1" createdVersion="8" refreshedVersion="8" minRefreshableVersion="3" recordCount="0" supportSubquery="1" supportAdvancedDrill="1" xr:uid="{935A4584-F9D0-42EE-9B72-B5FDD83A3020}">
  <cacheSource type="external" connectionId="1"/>
  <cacheFields count="4">
    <cacheField name="[TBL_Employees].[Ethnicity].[Ethnicity]" caption="Ethnicity" numFmtId="0" hierarchy="6" level="1">
      <sharedItems count="4">
        <s v="Asian"/>
        <s v="Black"/>
        <s v="Caucasian"/>
        <s v="Latino"/>
      </sharedItems>
    </cacheField>
    <cacheField name="[Measures].[Число элементов в столбце EEID]" caption="Число элементов в столбце EEID" numFmtId="0" hierarchy="26" level="32767"/>
    <cacheField name="[TBL_Employees].[Department].[Department]" caption="Department" numFmtId="0" hierarchy="3" level="1">
      <sharedItems containsSemiMixedTypes="0" containsNonDate="0" containsString="0"/>
    </cacheField>
    <cacheField name="[TBL_Employees].[Is Current Worker].[Is Current Worker]" caption="Is Current Worker" numFmtId="0" hierarchy="14" level="1">
      <sharedItems containsSemiMixedTypes="0" containsNonDate="0" containsString="0"/>
    </cacheField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2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2" memberValueDatatype="130" unbalanced="0">
      <fieldsUsage count="2">
        <fieldUsage x="-1"/>
        <fieldUsage x="0"/>
      </fieldsUsage>
    </cacheHierarchy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>
      <fieldsUsage count="2">
        <fieldUsage x="-1"/>
        <fieldUsage x="3"/>
      </fieldsUsage>
    </cacheHierarchy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8982870369" backgroundQuery="1" createdVersion="8" refreshedVersion="8" minRefreshableVersion="3" recordCount="0" supportSubquery="1" supportAdvancedDrill="1" xr:uid="{1FD195AD-B090-4EDC-811E-729B57EA7093}">
  <cacheSource type="external" connectionId="1"/>
  <cacheFields count="3">
    <cacheField name="[TBL_Employees].[Job Title].[Job Title]" caption="Job Title" numFmtId="0" hierarchy="2" level="1">
      <sharedItems count="33">
        <s v="Account Representative"/>
        <s v="Analyst"/>
        <s v="Analyst II"/>
        <s v="Automation Engineer"/>
        <s v="Business Partner"/>
        <s v="Cloud Infrastructure Architect"/>
        <s v="Computer Systems Manager"/>
        <s v="Controls Engineer"/>
        <s v="Development Engineer"/>
        <s v="Director"/>
        <s v="Engineering Manager"/>
        <s v="Enterprise Architect"/>
        <s v="Field Engineer"/>
        <s v="HRIS Analyst"/>
        <s v="IT Coordinator"/>
        <s v="IT Systems Architect"/>
        <s v="Manager"/>
        <s v="Network Administrator"/>
        <s v="Network Architect"/>
        <s v="Network Engineer"/>
        <s v="Operations Engineer"/>
        <s v="Quality Engineer"/>
        <s v="Service Desk Analyst"/>
        <s v="Solutions Architect"/>
        <s v="Sr. Account Representative"/>
        <s v="Sr. Analyst"/>
        <s v="Sr. Business Partner"/>
        <s v="Sr. Manger"/>
        <s v="System Administrator "/>
        <s v="Systems Analyst"/>
        <s v="Technical Architect"/>
        <s v="Test Engineer"/>
        <s v="Vice President"/>
      </sharedItems>
    </cacheField>
    <cacheField name="[Measures].[Сумма по столбцу Annual Salary]" caption="Сумма по столбцу Annual Salary" numFmtId="0" hierarchy="21" level="32767"/>
    <cacheField name="[TBL_Employees].[Department].[Department]" caption="Department" numFmtId="0" hierarchy="3" level="1">
      <sharedItems containsSemiMixedTypes="0" containsNonDate="0" containsString="0"/>
    </cacheField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2" memberValueDatatype="130" unbalanced="0">
      <fieldsUsage count="2">
        <fieldUsage x="-1"/>
        <fieldUsage x="0"/>
      </fieldsUsage>
    </cacheHierarchy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2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/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8984143516" backgroundQuery="1" createdVersion="8" refreshedVersion="8" minRefreshableVersion="3" recordCount="0" supportSubquery="1" supportAdvancedDrill="1" xr:uid="{658E089D-4C78-4A17-AE71-EAB204C47E9B}">
  <cacheSource type="external" connectionId="1"/>
  <cacheFields count="3">
    <cacheField name="[TBL_Employees].[Country].[Country]" caption="Country" numFmtId="0" hierarchy="11" level="1">
      <sharedItems count="3">
        <s v="Brazil"/>
        <s v="China"/>
        <s v="United States"/>
      </sharedItems>
    </cacheField>
    <cacheField name="[Measures].[Сумма по столбцу Annual Salary]" caption="Сумма по столбцу Annual Salary" numFmtId="0" hierarchy="21" level="32767"/>
    <cacheField name="[TBL_Employees].[Department].[Department]" caption="Department" numFmtId="0" hierarchy="3" level="1">
      <sharedItems containsSemiMixedTypes="0" containsNonDate="0" containsString="0"/>
    </cacheField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2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2" memberValueDatatype="130" unbalanced="0">
      <fieldsUsage count="2">
        <fieldUsage x="-1"/>
        <fieldUsage x="0"/>
      </fieldsUsage>
    </cacheHierarchy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/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8985185185" backgroundQuery="1" createdVersion="8" refreshedVersion="8" minRefreshableVersion="3" recordCount="0" supportSubquery="1" supportAdvancedDrill="1" xr:uid="{FC9EA708-4B6B-47C0-876C-5E2F00351E7E}">
  <cacheSource type="external" connectionId="1"/>
  <cacheFields count="3">
    <cacheField name="[TBL_Employees].[Full Name].[Full Name]" caption="Full Name" numFmtId="0" hierarchy="1" level="1">
      <sharedItems count="10">
        <s v="Anthony Marquez"/>
        <s v="Cameron Young"/>
        <s v="Christopher Lam"/>
        <s v="Elena Tan"/>
        <s v="Emily Clark"/>
        <s v="Isla Wong"/>
        <s v="Kinsley Vega"/>
        <s v="Mason Cho"/>
        <s v="Sophie Silva"/>
        <s v="Thomas Padilla"/>
      </sharedItems>
    </cacheField>
    <cacheField name="[Measures].[Максимум в столбце Bonus %]" caption="Максимум в столбце Bonus %" numFmtId="0" hierarchy="29" level="32767"/>
    <cacheField name="[TBL_Employees].[Department].[Department]" caption="Department" numFmtId="0" hierarchy="3" level="1">
      <sharedItems containsSemiMixedTypes="0" containsNonDate="0" containsString="0"/>
    </cacheField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2" memberValueDatatype="130" unbalanced="0">
      <fieldsUsage count="2">
        <fieldUsage x="-1"/>
        <fieldUsage x="0"/>
      </fieldsUsage>
    </cacheHierarchy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2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/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8985532409" backgroundQuery="1" createdVersion="8" refreshedVersion="8" minRefreshableVersion="3" recordCount="0" supportSubquery="1" supportAdvancedDrill="1" xr:uid="{B9E0D9F5-3940-47B5-9EF0-1A72D6D9E123}">
  <cacheSource type="external" connectionId="1"/>
  <cacheFields count="2">
    <cacheField name="[TBL_Employees].[Department].[Department]" caption="Department" numFmtId="0" hierarchy="3" level="1">
      <sharedItems count="7">
        <s v="Accounting"/>
        <s v="Engineering"/>
        <s v="Finance"/>
        <s v="Human Resources"/>
        <s v="IT"/>
        <s v="Marketing"/>
        <s v="Sales"/>
      </sharedItems>
    </cacheField>
    <cacheField name="[Measures].[Максимум в столбце Bonus %]" caption="Максимум в столбце Bonus %" numFmtId="0" hierarchy="29" level="32767"/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0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/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8986111109" backgroundQuery="1" createdVersion="8" refreshedVersion="8" minRefreshableVersion="3" recordCount="0" supportSubquery="1" supportAdvancedDrill="1" xr:uid="{970ED765-12D4-499B-BDF8-64B83CF9382C}">
  <cacheSource type="external" connectionId="1"/>
  <cacheFields count="2">
    <cacheField name="[TBL_Employees].[Department].[Department]" caption="Department" numFmtId="0" hierarchy="3" level="1">
      <sharedItems count="7">
        <s v="Accounting"/>
        <s v="Engineering"/>
        <s v="Finance"/>
        <s v="Human Resources"/>
        <s v="IT"/>
        <s v="Marketing"/>
        <s v="Sales"/>
      </sharedItems>
    </cacheField>
    <cacheField name="[Measures].[Сумма по столбцу Annual Salary]" caption="Сумма по столбцу Annual Salary" numFmtId="0" hierarchy="21" level="32767"/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0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/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8986458333" backgroundQuery="1" createdVersion="8" refreshedVersion="8" minRefreshableVersion="3" recordCount="0" supportSubquery="1" supportAdvancedDrill="1" xr:uid="{E1524046-3CA4-4EF4-954C-A2D55357C015}">
  <cacheSource type="external" connectionId="1"/>
  <cacheFields count="2">
    <cacheField name="[TBL_Employees].[Department].[Department]" caption="Department" numFmtId="0" hierarchy="3" level="1">
      <sharedItems count="7">
        <s v="Accounting"/>
        <s v="Engineering"/>
        <s v="Finance"/>
        <s v="Human Resources"/>
        <s v="IT"/>
        <s v="Marketing"/>
        <s v="Sales"/>
      </sharedItems>
    </cacheField>
    <cacheField name="[Measures].[Среднее по столбцу Annual Salary]" caption="Среднее по столбцу Annual Salary" numFmtId="0" hierarchy="30" level="32767"/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0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/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107.638986689817" backgroundQuery="1" createdVersion="8" refreshedVersion="8" minRefreshableVersion="3" recordCount="0" supportSubquery="1" supportAdvancedDrill="1" xr:uid="{BE171DA6-8C8D-465B-98DD-BA00AD662A80}">
  <cacheSource type="external" connectionId="1"/>
  <cacheFields count="2">
    <cacheField name="[Measures].[Максимум в столбце Bonus %]" caption="Максимум в столбце Bonus %" numFmtId="0" hierarchy="29" level="32767"/>
    <cacheField name="[TBL_Employees].[Department].[Department]" caption="Department" numFmtId="0" hierarchy="3" level="1">
      <sharedItems containsSemiMixedTypes="0" containsNonDate="0" containsString="0"/>
    </cacheField>
  </cacheFields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2" memberValueDatatype="130" unbalanced="0">
      <fieldsUsage count="2">
        <fieldUsage x="-1"/>
        <fieldUsage x="1"/>
      </fieldsUsage>
    </cacheHierarchy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2" memberValueDatatype="130" unbalanced="0"/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097.997514467592" backgroundQuery="1" createdVersion="3" refreshedVersion="8" minRefreshableVersion="3" recordCount="0" supportSubquery="1" supportAdvancedDrill="1" xr:uid="{3BD445D6-037D-44B2-951C-6DD0212C829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0" memberValueDatatype="130" unbalanced="0"/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0" memberValueDatatype="130" unbalanced="0"/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licerData="1" pivotCacheId="465207082"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0" refreshedDate="45097.99754178241" backgroundQuery="1" createdVersion="3" refreshedVersion="8" minRefreshableVersion="3" recordCount="0" supportSubquery="1" supportAdvancedDrill="1" xr:uid="{EB9DB195-6477-4308-85C9-9C60F3B3AFAC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1">
    <cacheHierarchy uniqueName="[TBL_Employees].[EEID]" caption="EEID" attribute="1" defaultMemberUniqueName="[TBL_Employees].[EEID].[All]" allUniqueName="[TBL_Employees].[EEID].[All]" dimensionUniqueName="[TBL_Employees]" displayFolder="" count="0" memberValueDatatype="130" unbalanced="0"/>
    <cacheHierarchy uniqueName="[TBL_Employees].[Full Name]" caption="Full Name" attribute="1" defaultMemberUniqueName="[TBL_Employees].[Full Name].[All]" allUniqueName="[TBL_Employees].[Full Name].[All]" dimensionUniqueName="[TBL_Employees]" displayFolder="" count="0" memberValueDatatype="130" unbalanced="0"/>
    <cacheHierarchy uniqueName="[TBL_Employees].[Job Title]" caption="Job Title" attribute="1" defaultMemberUniqueName="[TBL_Employees].[Job Title].[All]" allUniqueName="[TBL_Employees].[Job Title].[All]" dimensionUniqueName="[TBL_Employees]" displayFolder="" count="0" memberValueDatatype="130" unbalanced="0"/>
    <cacheHierarchy uniqueName="[TBL_Employees].[Department]" caption="Department" attribute="1" defaultMemberUniqueName="[TBL_Employees].[Department].[All]" allUniqueName="[TBL_Employees].[Department].[All]" dimensionUniqueName="[TBL_Employees]" displayFolder="" count="0" memberValueDatatype="130" unbalanced="0"/>
    <cacheHierarchy uniqueName="[TBL_Employees].[Business Unit]" caption="Business Unit" attribute="1" defaultMemberUniqueName="[TBL_Employees].[Business Unit].[All]" allUniqueName="[TBL_Employees].[Business Unit].[All]" dimensionUniqueName="[TBL_Employees]" displayFolder="" count="0" memberValueDatatype="130" unbalanced="0"/>
    <cacheHierarchy uniqueName="[TBL_Employees].[Gender]" caption="Gender" attribute="1" defaultMemberUniqueName="[TBL_Employees].[Gender].[All]" allUniqueName="[TBL_Employees].[Gender].[All]" dimensionUniqueName="[TBL_Employees]" displayFolder="" count="0" memberValueDatatype="130" unbalanced="0"/>
    <cacheHierarchy uniqueName="[TBL_Employees].[Ethnicity]" caption="Ethnicity" attribute="1" defaultMemberUniqueName="[TBL_Employees].[Ethnicity].[All]" allUniqueName="[TBL_Employees].[Ethnicity].[All]" dimensionUniqueName="[TBL_Employees]" displayFolder="" count="0" memberValueDatatype="130" unbalanced="0"/>
    <cacheHierarchy uniqueName="[TBL_Employees].[Age]" caption="Age" attribute="1" defaultMemberUniqueName="[TBL_Employees].[Age].[All]" allUniqueName="[TBL_Employees].[Age].[All]" dimensionUniqueName="[TBL_Employees]" displayFolder="" count="0" memberValueDatatype="20" unbalanced="0"/>
    <cacheHierarchy uniqueName="[TBL_Employees].[Hire Date]" caption="Hire Date" attribute="1" time="1" defaultMemberUniqueName="[TBL_Employees].[Hire Date].[All]" allUniqueName="[TBL_Employees].[Hire Date].[All]" dimensionUniqueName="[TBL_Employees]" displayFolder="" count="0" memberValueDatatype="7" unbalanced="0"/>
    <cacheHierarchy uniqueName="[TBL_Employees].[Annual Salary]" caption="Annual Salary" attribute="1" defaultMemberUniqueName="[TBL_Employees].[Annual Salary].[All]" allUniqueName="[TBL_Employees].[Annual Salary].[All]" dimensionUniqueName="[TBL_Employees]" displayFolder="" count="0" memberValueDatatype="20" unbalanced="0"/>
    <cacheHierarchy uniqueName="[TBL_Employees].[Bonus %]" caption="Bonus %" attribute="1" defaultMemberUniqueName="[TBL_Employees].[Bonus %].[All]" allUniqueName="[TBL_Employees].[Bonus %].[All]" dimensionUniqueName="[TBL_Employees]" displayFolder="" count="0" memberValueDatatype="5" unbalanced="0"/>
    <cacheHierarchy uniqueName="[TBL_Employees].[Country]" caption="Country" attribute="1" defaultMemberUniqueName="[TBL_Employees].[Country].[All]" allUniqueName="[TBL_Employees].[Country].[All]" dimensionUniqueName="[TBL_Employees]" displayFolder="" count="0" memberValueDatatype="130" unbalanced="0"/>
    <cacheHierarchy uniqueName="[TBL_Employees].[City]" caption="City" attribute="1" defaultMemberUniqueName="[TBL_Employees].[City].[All]" allUniqueName="[TBL_Employees].[City].[All]" dimensionUniqueName="[TBL_Employees]" displayFolder="" count="0" memberValueDatatype="130" unbalanced="0"/>
    <cacheHierarchy uniqueName="[TBL_Employees].[Exit Date]" caption="Exit Date" attribute="1" defaultMemberUniqueName="[TBL_Employees].[Exit Date].[All]" allUniqueName="[TBL_Employees].[Exit Date].[All]" dimensionUniqueName="[TBL_Employees]" displayFolder="" count="0" memberValueDatatype="130" unbalanced="0"/>
    <cacheHierarchy uniqueName="[TBL_Employees].[Is Current Worker]" caption="Is Current Worker" attribute="1" defaultMemberUniqueName="[TBL_Employees].[Is Current Worker].[All]" allUniqueName="[TBL_Employees].[Is Current Worker].[All]" dimensionUniqueName="[TBL_Employees]" displayFolder="" count="0" memberValueDatatype="130" unbalanced="0"/>
    <cacheHierarchy uniqueName="[TBL_Employees].[Hire Date (Год)]" caption="Hire Date (Год)" attribute="1" defaultMemberUniqueName="[TBL_Employees].[Hire Date (Год)].[All]" allUniqueName="[TBL_Employees].[Hire Date (Год)].[All]" dimensionUniqueName="[TBL_Employees]" displayFolder="" count="0" memberValueDatatype="130" unbalanced="0"/>
    <cacheHierarchy uniqueName="[TBL_Employees].[Hire Date (Квартал)]" caption="Hire Date (Квартал)" attribute="1" defaultMemberUniqueName="[TBL_Employees].[Hire Date (Квартал)].[All]" allUniqueName="[TBL_Employees].[Hire Date (Квартал)].[All]" dimensionUniqueName="[TBL_Employees]" displayFolder="" count="0" memberValueDatatype="130" unbalanced="0"/>
    <cacheHierarchy uniqueName="[TBL_Employees].[Hire Date (Месяц)]" caption="Hire Date (Месяц)" attribute="1" defaultMemberUniqueName="[TBL_Employees].[Hire Date (Месяц)].[All]" allUniqueName="[TBL_Employees].[Hire Date (Месяц)].[All]" dimensionUniqueName="[TBL_Employees]" displayFolder="" count="0" memberValueDatatype="130" unbalanced="0"/>
    <cacheHierarchy uniqueName="[TBL_Employees].[Hire Date (Индекс месяца)]" caption="Hire Date (Индекс месяца)" attribute="1" defaultMemberUniqueName="[TBL_Employees].[Hire Date (Индекс месяца)].[All]" allUniqueName="[TBL_Employees].[Hire Date (Индекс месяца)].[All]" dimensionUniqueName="[TBL_Employees]" displayFolder="" count="0" memberValueDatatype="20" unbalanced="0" hidden="1"/>
    <cacheHierarchy uniqueName="[Measures].[__XL_Count TBL_Employees]" caption="__XL_Count TBL_Employees" measure="1" displayFolder="" measureGroup="TBL_Employees" count="0" hidden="1"/>
    <cacheHierarchy uniqueName="[Measures].[__No measures defined]" caption="__No measures defined" measure="1" displayFolder="" count="0" hidden="1"/>
    <cacheHierarchy uniqueName="[Measures].[Сумма по столбцу Annual Salary]" caption="Сумма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Сумма по столбцу Bonus %]" caption="Сумма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Bonus %]" caption="Среднее по столбцу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Число элементов в столбце Job Title]" caption="Число элементов в столбце Job Titl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Число элементов в столбце Gender]" caption="Число элементов в столбце Gender" measure="1" displayFolder="" measureGroup="TBL_Employees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Число элементов в столбце EEID]" caption="Число элементов в столбце EEID" measure="1" displayFolder="" measureGroup="TBL_Employe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Число элементов в столбце Ethnicity]" caption="Число элементов в столбце Ethnicit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элементов в столбце Exit Date]" caption="Число элементов в столбце Exit Date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Максимум в столбце Bonus %]" caption="Максимум в столбце Bonus %" measure="1" displayFolder="" measureGroup="TBL_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Среднее по столбцу Annual Salary]" caption="Среднее по столбцу Annual Salary" measure="1" displayFolder="" measureGroup="TBL_Employees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BL_Employees" uniqueName="[TBL_Employees]" caption="TBL_Employees"/>
  </dimensions>
  <measureGroups count="1">
    <measureGroup name="TBL_Employees" caption="TBL_Employees"/>
  </measureGroups>
  <maps count="1">
    <map measureGroup="0" dimension="1"/>
  </maps>
  <extLst>
    <ext xmlns:x14="http://schemas.microsoft.com/office/spreadsheetml/2009/9/main" uri="{725AE2AE-9491-48be-B2B4-4EB974FC3084}">
      <x14:pivotCacheDefinition slicerData="1" pivotCacheId="158168265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CFB65-7046-4C0D-8D70-BFD92CDB1DF9}" name="Full Name - Bonus" cacheId="285" applyNumberFormats="0" applyBorderFormats="0" applyFontFormats="0" applyPatternFormats="0" applyAlignmentFormats="0" applyWidthHeightFormats="1" dataCaption="Значения" updatedVersion="8" minRefreshableVersion="3" useAutoFormatting="1" subtotalHiddenItems="1" rowGrandTotals="0" colGrandTotals="0" itemPrintTitles="1" createdVersion="8" indent="0" compact="0" compactData="0" multipleFieldFilters="0" rowHeaderCaption="">
  <location ref="G16:H26" firstHeaderRow="1" firstDataRow="1" firstDataCol="1"/>
  <pivotFields count="3">
    <pivotField axis="axisRow" compact="0" allDrilled="1" outline="0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dataField="1" compact="0" outline="0" subtotalTop="0" showAll="0" defaultSubtotal="0"/>
    <pivotField compact="0" allDrilled="1" outline="0" subtotalTop="0" showAll="0" dataSourceSort="1" defaultSubtotal="0" defaultAttributeDrillState="1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 Bonus %" fld="1" subtotal="max" baseField="0" baseItem="0" numFmtId="9"/>
  </dataFields>
  <formats count="12">
    <format dxfId="24">
      <pivotArea field="0" type="button" dataOnly="0" labelOnly="1" outline="0" axis="axisRow" fieldPosition="0"/>
    </format>
    <format dxfId="23">
      <pivotArea dataOnly="0" labelOnly="1" outline="0" axis="axisValues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outline="0" fieldPosition="0">
        <references count="1">
          <reference field="0" count="0"/>
        </references>
      </pivotArea>
    </format>
    <format dxfId="18">
      <pivotArea dataOnly="0" labelOnly="1" outline="0" axis="axisValues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axis="axisValues" fieldPosition="0"/>
    </format>
  </formats>
  <pivotHierarchies count="31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Bonus %"/>
    <pivotHierarchy dragToData="1"/>
  </pivotHierarchies>
  <pivotTableStyleInfo name="PivotStyleLight16" showRowHeaders="0" showColHeaders="0" showRowStripes="0" showColStripes="0" showLastColumn="1"/>
  <filters count="1">
    <filter fld="0" type="count" id="1" iMeasureHier="29">
      <autoFilter ref="A1">
        <filterColumn colId="0">
          <top10 val="10" filterVal="10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168A0F-92FA-4070-94E2-3DB63ABE0D7D}" name="Hired_count" cacheId="210" applyNumberFormats="0" applyBorderFormats="0" applyFontFormats="0" applyPatternFormats="0" applyAlignmentFormats="0" applyWidthHeightFormats="1" dataCaption="Значения" updatedVersion="8" minRefreshableVersion="3" useAutoFormatting="1" subtotalHiddenItems="1" itemPrintTitles="1" createdVersion="8" indent="0" outline="1" outlineData="1" multipleFieldFilters="0" chartFormat="16">
  <location ref="AB3:AC32" firstHeaderRow="1" firstDataRow="1" firstDataCol="1"/>
  <pivotFields count="7">
    <pivotField axis="axisRow" allDrilled="1" subtotalTop="0" showAll="0" dataSourceSort="1" defaultSubtotal="0" defaultAttributeDrillState="1">
      <items count="9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</items>
    </pivotField>
    <pivotField axis="axisRow" allDrilled="1" subtotalTop="0" showAll="0" dataSourceSort="1" defaultSubtotal="0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</items>
    </pivotField>
    <pivotField axis="axisRow" allDrilled="1" subtotalTop="0" showAll="0" dataSourceSort="1" defaultSubtotal="0">
      <items count="4">
        <item x="0" e="0"/>
        <item x="1" e="0"/>
        <item x="2" e="0"/>
        <item x="3" e="0"/>
      </items>
    </pivotField>
    <pivotField axis="axisRow" allDrilled="1" subtotalTop="0" showAll="0" dataSourceSort="1" defaultSubtotal="0">
      <items count="28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25" e="0"/>
        <item x="26" e="0"/>
        <item x="27" e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4">
    <field x="3"/>
    <field x="2"/>
    <field x="1"/>
    <field x="0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Items count="1">
    <i/>
  </colItems>
  <dataFields count="1">
    <dataField name="Число элементов в столбце EEID" fld="4" subtotal="count" baseField="0" baseItem="0"/>
  </dataFields>
  <chartFormats count="1"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multipleItemSelectionAllowed="1" dragToData="1">
      <members count="1" level="1">
        <member name="[TBL_Employees].[Department].&amp;[Engineering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Employees].[Is Current Worker].&amp;[Current employees]"/>
      </members>
    </pivotHierarchy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15"/>
    <rowHierarchyUsage hierarchyUsage="16"/>
    <rowHierarchyUsage hierarchyUsage="17"/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15143B-AE2B-422C-B76D-E33ACFCE380F}" name="Race_count" cacheId="213" applyNumberFormats="0" applyBorderFormats="0" applyFontFormats="0" applyPatternFormats="0" applyAlignmentFormats="0" applyWidthHeightFormats="1" dataCaption="Значения" updatedVersion="8" minRefreshableVersion="3" useAutoFormatting="1" rowGrandTotals="0" colGrandTotals="0" itemPrintTitles="1" createdVersion="8" indent="0" outline="1" outlineData="1" multipleFieldFilters="0" chartFormat="7">
  <location ref="G3:H7" firstHeaderRow="1" firstDataRow="1" firstDataCol="1"/>
  <pivotFields count="4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>
      <x v="3"/>
    </i>
  </rowItems>
  <colItems count="1">
    <i/>
  </colItems>
  <dataFields count="1">
    <dataField name="Число элементов в столбце EEID" fld="1" subtotal="count" baseField="0" baseItem="0"/>
  </dataFields>
  <chartFormats count="5"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31">
    <pivotHierarchy dragToData="1"/>
    <pivotHierarchy dragToData="1"/>
    <pivotHierarchy dragToData="1"/>
    <pivotHierarchy multipleItemSelectionAllowed="1" dragToData="1">
      <members count="1" level="1">
        <member name="[TBL_Employees].[Department].&amp;[Engineering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Employees].[Is Current Worker].&amp;[Current employees]"/>
      </members>
    </pivotHierarchy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B4EBAD-B1D3-4A60-9EB1-29AD0F434BAA}" name="Сводная таблица2" cacheId="279" applyNumberFormats="0" applyBorderFormats="0" applyFontFormats="0" applyPatternFormats="0" applyAlignmentFormats="0" applyWidthHeightFormats="1" dataCaption="Значения" updatedVersion="8" minRefreshableVersion="3" subtotalHiddenItems="1" itemPrintTitles="1" createdVersion="8" indent="0" outline="1" outlineData="1" chartFormat="9">
  <location ref="A3:B37" firstHeaderRow="1" firstDataRow="1" firstDataCol="1"/>
  <pivotFields count="3">
    <pivotField axis="axisRow" allDrilled="1" showAll="0" dataSourceSort="1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Сумма по столбцу Annual Salary" fld="1" baseField="0" baseItem="0"/>
  </dataFields>
  <formats count="2">
    <format dxfId="10">
      <pivotArea dataOnly="0" labelOnly="1" outline="0" axis="axisValues" fieldPosition="0"/>
    </format>
    <format dxfId="9">
      <pivotArea outline="0" collapsedLevelsAreSubtotals="1" fieldPosition="0"/>
    </format>
  </formats>
  <chartFormats count="1"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7E7BE0-0128-45AB-A393-927788B62D18}" name="Сводная таблица4" cacheId="291" applyNumberFormats="0" applyBorderFormats="0" applyFontFormats="0" applyPatternFormats="0" applyAlignmentFormats="0" applyWidthHeightFormats="1" dataCaption="Значения" updatedVersion="8" minRefreshableVersion="3" useAutoFormatting="1" subtotalHiddenItems="1" itemPrintTitles="1" createdVersion="8" indent="0" outline="1" outlineData="1" multipleFieldFilters="0">
  <location ref="M3:N11" firstHeaderRow="1" firstDataRow="1" firstDataCol="1"/>
  <pivotFields count="2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Сумма по столбцу Annual Salary" fld="1" baseField="0" baseItem="0"/>
  </dataFields>
  <pivotHierarchies count="31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4B90C7-E621-4552-B03F-BCCDA022FFE9}" name="Сводная таблица22" cacheId="288" applyNumberFormats="0" applyBorderFormats="0" applyFontFormats="0" applyPatternFormats="0" applyAlignmentFormats="0" applyWidthHeightFormats="1" dataCaption="Значения" updatedVersion="8" minRefreshableVersion="3" useAutoFormatting="1" subtotalHiddenItems="1" itemPrintTitles="1" createdVersion="8" indent="0" outline="1" outlineData="1" multipleFieldFilters="0">
  <location ref="S3:T11" firstHeaderRow="1" firstDataRow="1" firstDataCol="1"/>
  <pivotFields count="2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Максимум в столбце Bonus %" fld="1" subtotal="max" baseField="0" baseItem="0" numFmtId="9"/>
  </dataFields>
  <pivotHierarchies count="31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Максимум в столбце Bonus %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F5A9EE-C338-4370-A390-2E7B2C27528F}" name="Сводная таблица25" cacheId="294" applyNumberFormats="0" applyBorderFormats="0" applyFontFormats="0" applyPatternFormats="0" applyAlignmentFormats="0" applyWidthHeightFormats="1" dataCaption="Значения" updatedVersion="8" minRefreshableVersion="3" useAutoFormatting="1" subtotalHiddenItems="1" itemPrintTitles="1" createdVersion="8" indent="0" outline="1" outlineData="1" multipleFieldFilters="0">
  <location ref="Y3:Z11" firstHeaderRow="1" firstDataRow="1" firstDataCol="1"/>
  <pivotFields count="2"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Среднее по столбцу Annual Salary" fld="1" subtotal="average" baseField="0" baseItem="0" numFmtId="1"/>
  </dataFields>
  <formats count="1">
    <format dxfId="11">
      <pivotArea outline="0" collapsedLevelsAreSubtotals="1" fieldPosition="0"/>
    </format>
  </formats>
  <pivotHierarchies count="31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Среднее по столбцу Annual Salary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754F65-F67E-432C-B663-4EC7551AEF2C}" name="Age_count" cacheId="204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3">
  <location ref="V3:W43" firstHeaderRow="1" firstDataRow="1" firstDataCol="1"/>
  <pivotFields count="4">
    <pivotField axis="axisRow" allDrilled="1" subtotalTop="0" showAll="0" dataSourceSort="1" defaultSubtotal="0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 t="grand">
      <x/>
    </i>
  </rowItems>
  <colItems count="1">
    <i/>
  </colItems>
  <dataFields count="1">
    <dataField name="Число элементов в столбце EEID" fld="1" subtotal="count" baseField="0" baseItem="0"/>
  </dataFields>
  <chartFormats count="2">
    <chartFormat chart="9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multipleItemSelectionAllowed="1" dragToData="1">
      <members count="1" level="1">
        <member name="[TBL_Employees].[Department].&amp;[Engineering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Employees].[Is Current Worker].&amp;[Current employees]"/>
      </members>
    </pivotHierarchy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20F61E-45B8-4CA1-A0D9-1A73BB8369F0}" name="Сводная таблица21" cacheId="297" applyNumberFormats="0" applyBorderFormats="0" applyFontFormats="0" applyPatternFormats="0" applyAlignmentFormats="0" applyWidthHeightFormats="1" dataCaption="Значения" updatedVersion="8" minRefreshableVersion="3" useAutoFormatting="1" subtotalHiddenItems="1" itemPrintTitles="1" createdVersion="8" indent="0" outline="1" outlineData="1" multipleFieldFilters="0">
  <location ref="Q3:Q4" firstHeaderRow="1" firstDataRow="1" firstDataCol="0"/>
  <pivotFields count="2"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Items count="1">
    <i/>
  </colItems>
  <dataFields count="1">
    <dataField name="Максимум в столбце Bonus %" fld="0" subtotal="max" baseField="0" baseItem="0" numFmtId="9"/>
  </dataFields>
  <formats count="1">
    <format dxfId="12">
      <pivotArea outline="0" collapsedLevelsAreSubtotals="1" fieldPosition="0"/>
    </format>
  </formats>
  <pivotHierarchies count="31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Максимум в столбце Bonus %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05A4A6-A634-48D5-B78C-FAFE13247C43}" name="Gender_count" cacheId="207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8">
  <location ref="J3:K6" firstHeaderRow="1" firstDataRow="1" firstDataCol="1"/>
  <pivotFields count="4"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Число элементов в столбце EEID" fld="1" subtotal="count" baseField="0" baseItem="0"/>
  </dataFields>
  <chartFormats count="3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1">
    <pivotHierarchy dragToData="1"/>
    <pivotHierarchy dragToData="1"/>
    <pivotHierarchy dragToData="1"/>
    <pivotHierarchy multipleItemSelectionAllowed="1" dragToData="1">
      <members count="1" level="1">
        <member name="[TBL_Employees].[Department].&amp;[Engineering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Employees].[Is Current Worker].&amp;[Current employees]"/>
      </members>
    </pivotHierarchy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A38C6D-EEC4-4C7C-BFD5-F28E32C3468E}" name="Страны2" cacheId="282" applyNumberFormats="0" applyBorderFormats="0" applyFontFormats="0" applyPatternFormats="0" applyAlignmentFormats="0" applyWidthHeightFormats="1" dataCaption="Значения" updatedVersion="8" minRefreshableVersion="3" useAutoFormatting="1" subtotalHiddenItems="1" itemPrintTitles="1" createdVersion="8" indent="0" outline="1" outlineData="1" multipleFieldFilters="0" chartFormat="8">
  <location ref="D3:E7" firstHeaderRow="1" firstDataRow="1" firstDataCol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Сумма по столбцу Annual Salary" fld="1" baseField="0" baseItem="0"/>
  </dataFields>
  <chartFormats count="4"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31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mployee Sample Data.xlsx!TBL_Employees">
        <x15:activeTabTopLevelEntity name="[TBL_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epartment" xr10:uid="{BB315D6E-2EEF-4A73-BB49-82C9F7EB4A03}" sourceName="[TBL_Employees].[Department]">
  <pivotTables>
    <pivotTable tabId="3" name="Сводная таблица2"/>
    <pivotTable tabId="3" name="Страны2"/>
    <pivotTable tabId="4" name="Full Name - Bonus"/>
    <pivotTable tabId="3" name="Сводная таблица22"/>
    <pivotTable tabId="3" name="Сводная таблица4"/>
    <pivotTable tabId="3" name="Сводная таблица25"/>
    <pivotTable tabId="3" name="Сводная таблица21"/>
  </pivotTables>
  <data>
    <olap pivotCacheId="465207082">
      <levels count="2">
        <level uniqueName="[TBL_Employees].[Department].[(All)]" sourceCaption="(All)" count="0"/>
        <level uniqueName="[TBL_Employees].[Department].[Department]" sourceCaption="Department" count="7">
          <ranges>
            <range startItem="0">
              <i n="[TBL_Employees].[Department].&amp;[Accounting]" c="Accounting"/>
              <i n="[TBL_Employees].[Department].&amp;[Engineering]" c="Engineering"/>
              <i n="[TBL_Employees].[Department].&amp;[Finance]" c="Finance"/>
              <i n="[TBL_Employees].[Department].&amp;[Human Resources]" c="Human Resources"/>
              <i n="[TBL_Employees].[Department].&amp;[IT]" c="IT"/>
              <i n="[TBL_Employees].[Department].&amp;[Marketing]" c="Marketing"/>
              <i n="[TBL_Employees].[Department].&amp;[Sales]" c="Sales"/>
            </range>
          </ranges>
        </level>
      </levels>
      <selections count="1">
        <selection n="[TBL_Employees].[Department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Is_Current_Worker" xr10:uid="{D631BC9E-A692-4051-82A2-FAD6DEC2F435}" sourceName="[TBL_Employees].[Is Current Worker]">
  <pivotTables>
    <pivotTable tabId="3" name="Сводная таблица2"/>
    <pivotTable tabId="3" name="Страны2"/>
    <pivotTable tabId="3" name="Сводная таблица4"/>
    <pivotTable tabId="3" name="Сводная таблица25"/>
    <pivotTable tabId="3" name="Сводная таблица21"/>
    <pivotTable tabId="3" name="Сводная таблица22"/>
    <pivotTable tabId="4" name="Full Name - Bonus"/>
  </pivotTables>
  <data>
    <olap pivotCacheId="465207082">
      <levels count="2">
        <level uniqueName="[TBL_Employees].[Is Current Worker].[(All)]" sourceCaption="(All)" count="0"/>
        <level uniqueName="[TBL_Employees].[Is Current Worker].[Is Current Worker]" sourceCaption="Is Current Worker" count="2" sortOrder="ascending" crossFilter="none">
          <ranges>
            <range startItem="0">
              <i n="[TBL_Employees].[Is Current Worker].&amp;[Current employees]" c="Current employees"/>
              <i n="[TBL_Employees].[Is Current Worker].&amp;[Left employees]" c="Left employees"/>
            </range>
          </ranges>
        </level>
      </levels>
      <selections count="1">
        <selection n="[TBL_Employees].[Is Current Worker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Is_Current_Worker1" xr10:uid="{65265BB8-6598-4179-A0FC-D54714706346}" sourceName="[TBL_Employees].[Is Current Worker]">
  <pivotTables>
    <pivotTable tabId="3" name="Age_count"/>
    <pivotTable tabId="3" name="Gender_count"/>
    <pivotTable tabId="3" name="Hired_count"/>
    <pivotTable tabId="3" name="Race_count"/>
  </pivotTables>
  <data>
    <olap pivotCacheId="1581682655">
      <levels count="2">
        <level uniqueName="[TBL_Employees].[Is Current Worker].[(All)]" sourceCaption="(All)" count="0"/>
        <level uniqueName="[TBL_Employees].[Is Current Worker].[Is Current Worker]" sourceCaption="Is Current Worker" count="2" sortOrder="ascending" crossFilter="none">
          <ranges>
            <range startItem="0">
              <i n="[TBL_Employees].[Is Current Worker].&amp;[Current employees]" c="Current employees"/>
              <i n="[TBL_Employees].[Is Current Worker].&amp;[Left employees]" c="Left employees"/>
            </range>
          </ranges>
        </level>
      </levels>
      <selections count="1">
        <selection n="[TBL_Employees].[Is Current Worker].&amp;[Current employees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epartment1" xr10:uid="{7AEEB96D-4F89-4569-A9D9-4F9A4FEC5FE2}" sourceName="[TBL_Employees].[Department]">
  <pivotTables>
    <pivotTable tabId="3" name="Age_count"/>
    <pivotTable tabId="3" name="Gender_count"/>
    <pivotTable tabId="3" name="Hired_count"/>
    <pivotTable tabId="3" name="Race_count"/>
  </pivotTables>
  <data>
    <olap pivotCacheId="1581682655">
      <levels count="2">
        <level uniqueName="[TBL_Employees].[Department].[(All)]" sourceCaption="(All)" count="0"/>
        <level uniqueName="[TBL_Employees].[Department].[Department]" sourceCaption="Department" count="7">
          <ranges>
            <range startItem="0">
              <i n="[TBL_Employees].[Department].&amp;[Accounting]" c="Accounting"/>
              <i n="[TBL_Employees].[Department].&amp;[Engineering]" c="Engineering"/>
              <i n="[TBL_Employees].[Department].&amp;[Finance]" c="Finance"/>
              <i n="[TBL_Employees].[Department].&amp;[Human Resources]" c="Human Resources"/>
              <i n="[TBL_Employees].[Department].&amp;[IT]" c="IT"/>
              <i n="[TBL_Employees].[Department].&amp;[Marketing]" c="Marketing"/>
              <i n="[TBL_Employees].[Department].&amp;[Sales]" c="Sales"/>
            </range>
          </ranges>
        </level>
      </levels>
      <selections count="1">
        <selection n="[TBL_Employees].[Department].&amp;[Engineering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s Current Worker 2" xr10:uid="{C14121EF-E96B-4544-9F77-00CDB2113624}" cache="Срез_Is_Current_Worker1" caption="Is Current Worker" columnCount="2" showCaption="0" level="1" style="Стиль среза 1" rowHeight="241300"/>
  <slicer name="Department 2" xr10:uid="{A789E2F0-F725-41B1-B0D2-3F9C52F22D73}" cache="Срез_Department1" caption="Department" columnCount="7" showCaption="0" level="1" style="Стиль среза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ment 1" xr10:uid="{527E8634-EB3A-47D2-A882-DA2ED2990E38}" cache="Срез_Department" caption="Department" columnCount="7" showCaption="0" level="1" style="Стиль среза 1" rowHeight="241300"/>
  <slicer name="Is Current Worker 1" xr10:uid="{A4FBD6EA-23CF-451F-A1CC-7F46A282201D}" cache="Срез_Is_Current_Worker" caption="Is Current Worker" columnCount="2" showCaption="0" level="1" style="Стиль среза 1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ment" xr10:uid="{C598871F-EA94-4252-BF23-256A40C05AC6}" cache="Срез_Department" caption="Department" columnCount="7" showCaption="0" level="1" style="Стиль среза 1" rowHeight="241300"/>
  <slicer name="Is Current Worker" xr10:uid="{B2664959-F96A-4631-AB4C-EECFDF54AAAC}" cache="Срез_Is_Current_Worker" caption="Is Current Worker" columnCount="2" showCaption="0" level="1" style="Стиль среза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D910E80-3E25-4C29-8744-50054D4B840F}" name="Таблица4" displayName="Таблица4" ref="F9:S25" totalsRowShown="0" headerRowDxfId="39" dataDxfId="38" tableBorderDxfId="37">
  <autoFilter ref="F9:S25" xr:uid="{BD910E80-3E25-4C29-8744-50054D4B840F}"/>
  <tableColumns count="14">
    <tableColumn id="1" xr3:uid="{6E7E0C0A-A5E7-4912-B337-8AEC5409B175}" name="EEID" dataDxfId="36">
      <calculatedColumnFormula>INDEX(TBL_Employees[EEID],'Employees List'!$U$10+ROW(A1)-1)</calculatedColumnFormula>
    </tableColumn>
    <tableColumn id="2" xr3:uid="{818C9EE5-F303-4C3D-813F-457FEBDA0ADB}" name="Full Name" dataDxfId="35">
      <calculatedColumnFormula>INDEX(TBL_Employees[Full Name],'Employees List'!$U$10+ROW(B1)-1)</calculatedColumnFormula>
    </tableColumn>
    <tableColumn id="3" xr3:uid="{CDC367AA-A1B2-4528-9241-2D934973F350}" name="Job Title" dataDxfId="34">
      <calculatedColumnFormula>INDEX(TBL_Employees[Job Title],'Employees List'!$U$10+ROW(C1)-1)</calculatedColumnFormula>
    </tableColumn>
    <tableColumn id="4" xr3:uid="{A1FDC4D7-9AB8-41B8-9B02-A6C4E24F16AC}" name="Department" dataDxfId="33">
      <calculatedColumnFormula>INDEX(TBL_Employees[Department],'Employees List'!$U$10+ROW(D1)-1)</calculatedColumnFormula>
    </tableColumn>
    <tableColumn id="5" xr3:uid="{1DD525D2-20F1-4F4C-94A1-1337E04F31C2}" name="Business Unit" dataDxfId="32">
      <calculatedColumnFormula>INDEX(TBL_Employees[Business Unit],'Employees List'!$U$10+ROW(E1)-1)</calculatedColumnFormula>
    </tableColumn>
    <tableColumn id="6" xr3:uid="{E25CA734-1559-4765-AE17-618B773B2232}" name="Gender" dataDxfId="31">
      <calculatedColumnFormula>INDEX(TBL_Employees[Gender],'Employees List'!$U$10+ROW(F1)-1)</calculatedColumnFormula>
    </tableColumn>
    <tableColumn id="7" xr3:uid="{0BA35E4F-31FA-4331-AD25-A1E2BF6BE6A0}" name="Ethnicity" dataDxfId="30">
      <calculatedColumnFormula>INDEX(TBL_Employees[Ethnicity],'Employees List'!$U$10+ROW(G1)-1)</calculatedColumnFormula>
    </tableColumn>
    <tableColumn id="8" xr3:uid="{48E4AADE-F6F4-4DB7-A27C-85E02B54B9F7}" name="Age" dataDxfId="29">
      <calculatedColumnFormula>INDEX(TBL_Employees[Age],'Employees List'!$U$10+ROW(H1)-1)</calculatedColumnFormula>
    </tableColumn>
    <tableColumn id="9" xr3:uid="{5AA4EF7E-81C3-4DD6-8A5A-61BAAD21951E}" name="Hire Date" dataDxfId="28">
      <calculatedColumnFormula>INDEX(TBL_Employees[Hire Date],'Employees List'!$U$10+ROW(I1)-1)</calculatedColumnFormula>
    </tableColumn>
    <tableColumn id="10" xr3:uid="{D20D486C-3155-4391-BDCD-A4DD5E958EF4}" name="Annual Salary" dataDxfId="27">
      <calculatedColumnFormula>INDEX(TBL_Employees[Annual Salary],'Employees List'!$U$10+ROW(J1)-1)</calculatedColumnFormula>
    </tableColumn>
    <tableColumn id="11" xr3:uid="{BEE0AD06-BAE4-48FC-A222-B92D5B2D3AA0}" name="Bonus %" dataDxfId="26" dataCellStyle="Процентный">
      <calculatedColumnFormula>INDEX(TBL_Employees[Bonus %],'Employees List'!$U$10+ROW(K1)-1)</calculatedColumnFormula>
    </tableColumn>
    <tableColumn id="12" xr3:uid="{5954C5DE-EABF-4E45-A8F6-B2726F01EB7A}" name="Country" dataDxfId="25">
      <calculatedColumnFormula>INDEX(TBL_Employees[Country],'Employees List'!$U$10+ROW(L1)-1)</calculatedColumnFormula>
    </tableColumn>
    <tableColumn id="13" xr3:uid="{01CE3B7D-D412-42A6-A0A3-5498AF2ED4E5}" name="City" dataDxfId="1">
      <calculatedColumnFormula>INDEX(TBL_Employees[City],'Employees List'!$U$10+ROW(M1)-1)</calculatedColumnFormula>
    </tableColumn>
    <tableColumn id="14" xr3:uid="{23DAE63E-8970-42AD-B3B5-179577C1E9EE}" name="Exit Date" dataDxfId="0">
      <calculatedColumnFormula>INDEX(TBL_Employees[Exit Date],'Employees List'!$U$10+ROW(N1)-1)</calculatedColumnFormula>
    </tableColumn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2B88CD-0541-4CF5-A5E0-64FC5DEA8707}" name="BonucesCircle" displayName="BonucesCircle" ref="P12:Q17" headerRowCount="0" totalsRowShown="0">
  <tableColumns count="2">
    <tableColumn id="1" xr3:uid="{95C2077C-B40D-4F5B-87EE-8A094AE81822}" name="Столбец1"/>
    <tableColumn id="2" xr3:uid="{04FFFC57-2063-420B-B2FA-5F9D6BD1C54A}" name="Столбец2" dataDxfId="8">
      <calculatedColumnFormula>COUNTIF(TBL_Employees[Bonus %], "&lt;&gt;0")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CA8898-8363-4905-AB67-C7A42F7FDBFA}" name="TBL_Employees" displayName="TBL_Employees" ref="A1:O1001" totalsRowShown="0" headerRowDxfId="7">
  <autoFilter ref="A1:O1001" xr:uid="{D7CA8898-8363-4905-AB67-C7A42F7FDBFA}"/>
  <tableColumns count="15">
    <tableColumn id="1" xr3:uid="{C53A9B11-526E-4544-9240-8F1BF85C6750}" name="EEID"/>
    <tableColumn id="2" xr3:uid="{D9E04A7B-3C65-4F91-BF60-EAFF40E6085B}" name="Full Name"/>
    <tableColumn id="3" xr3:uid="{3249248C-14E8-4285-95BD-E69D813A3385}" name="Job Title"/>
    <tableColumn id="4" xr3:uid="{E33EB952-346C-41A1-B164-C8F3F5985E7C}" name="Department"/>
    <tableColumn id="5" xr3:uid="{CEA661FD-99FA-487A-A15C-1D7E22600BE1}" name="Business Unit"/>
    <tableColumn id="6" xr3:uid="{8EF3B415-18BF-405F-975C-1743BB4C3757}" name="Gender"/>
    <tableColumn id="7" xr3:uid="{6A0E630E-DF29-47EA-84F9-2F0B09D21C30}" name="Ethnicity"/>
    <tableColumn id="8" xr3:uid="{E15FD44F-389F-4F09-9585-BC74F2C33EC0}" name="Age"/>
    <tableColumn id="9" xr3:uid="{94A02DFC-97C6-4041-9BB7-B996CFD8DC0F}" name="Hire Date" dataDxfId="6"/>
    <tableColumn id="10" xr3:uid="{CA3B0D4F-FCC2-4967-BC8E-979F23AA32F2}" name="Annual Salary" dataDxfId="5"/>
    <tableColumn id="11" xr3:uid="{84DC6F9B-C840-4378-9E1C-BEB4EB18E284}" name="Bonus %" dataDxfId="4"/>
    <tableColumn id="12" xr3:uid="{CE1EEE5A-39A1-487E-BBC4-1A7B33DC7D56}" name="Country"/>
    <tableColumn id="13" xr3:uid="{7A08E8D1-8DAD-46E1-B6BA-B9ED0ABD69C7}" name="City"/>
    <tableColumn id="14" xr3:uid="{C7E08E0D-5677-461D-982F-21737E3F492B}" name="Exit Date" dataDxfId="3"/>
    <tableColumn id="15" xr3:uid="{B5243067-E279-4569-9B7C-16C5FAFE9FB6}" name="Is Current Worker" dataDxfId="2">
      <calculatedColumnFormula>IF(OR(TBL_Employees[[#This Row],[Exit Date]],FALSE),"Left employees", "Current employees")</calculatedColumnFormula>
    </tableColumn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TheSpreadsheetGuru 2021">
      <a:dk1>
        <a:srgbClr val="000000"/>
      </a:dk1>
      <a:lt1>
        <a:sysClr val="window" lastClr="FFFFFF"/>
      </a:lt1>
      <a:dk2>
        <a:srgbClr val="7E8995"/>
      </a:dk2>
      <a:lt2>
        <a:srgbClr val="414042"/>
      </a:lt2>
      <a:accent1>
        <a:srgbClr val="439FFD"/>
      </a:accent1>
      <a:accent2>
        <a:srgbClr val="E04C41"/>
      </a:accent2>
      <a:accent3>
        <a:srgbClr val="8D67E3"/>
      </a:accent3>
      <a:accent4>
        <a:srgbClr val="FFC000"/>
      </a:accent4>
      <a:accent5>
        <a:srgbClr val="2E3E51"/>
      </a:accent5>
      <a:accent6>
        <a:srgbClr val="3DB18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12" Type="http://schemas.openxmlformats.org/officeDocument/2006/relationships/table" Target="../tables/table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6.xml"/><Relationship Id="rId10" Type="http://schemas.openxmlformats.org/officeDocument/2006/relationships/pivotTable" Target="../pivotTables/pivotTable11.xml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07601-BEC6-430C-A1BF-4646DB82A296}">
  <sheetPr codeName="Лист1">
    <tabColor rgb="FFFFDAB9"/>
  </sheetPr>
  <dimension ref="F9:U26"/>
  <sheetViews>
    <sheetView showGridLines="0" showRowColHeaders="0" tabSelected="1" zoomScale="75" zoomScaleNormal="75" workbookViewId="0">
      <selection activeCell="C22" sqref="C22"/>
    </sheetView>
  </sheetViews>
  <sheetFormatPr defaultRowHeight="14.5" x14ac:dyDescent="0.35"/>
  <cols>
    <col min="6" max="6" width="15.90625" bestFit="1" customWidth="1"/>
    <col min="7" max="7" width="18.1796875" bestFit="1" customWidth="1"/>
    <col min="8" max="8" width="13.453125" customWidth="1"/>
    <col min="9" max="9" width="14.54296875" customWidth="1"/>
    <col min="10" max="10" width="9.36328125" customWidth="1"/>
    <col min="11" max="11" width="10.26953125" customWidth="1"/>
    <col min="13" max="13" width="11.1796875" customWidth="1"/>
    <col min="14" max="14" width="14.453125" customWidth="1"/>
    <col min="15" max="15" width="10.1796875" customWidth="1"/>
    <col min="16" max="16" width="9.7265625" customWidth="1"/>
    <col min="18" max="18" width="10.6328125" customWidth="1"/>
    <col min="19" max="19" width="18.26953125" customWidth="1"/>
  </cols>
  <sheetData>
    <row r="9" spans="6:21" x14ac:dyDescent="0.35">
      <c r="F9" s="22" t="s">
        <v>0</v>
      </c>
      <c r="G9" s="23" t="s">
        <v>1</v>
      </c>
      <c r="H9" s="23" t="s">
        <v>2</v>
      </c>
      <c r="I9" s="23" t="s">
        <v>3</v>
      </c>
      <c r="J9" s="23" t="s">
        <v>4</v>
      </c>
      <c r="K9" s="23" t="s">
        <v>5</v>
      </c>
      <c r="L9" s="23" t="s">
        <v>6</v>
      </c>
      <c r="M9" s="23" t="s">
        <v>7</v>
      </c>
      <c r="N9" s="23" t="s">
        <v>8</v>
      </c>
      <c r="O9" s="23" t="s">
        <v>9</v>
      </c>
      <c r="P9" s="23" t="s">
        <v>10</v>
      </c>
      <c r="Q9" s="23" t="s">
        <v>11</v>
      </c>
      <c r="R9" s="23" t="s">
        <v>12</v>
      </c>
      <c r="S9" s="24" t="s">
        <v>13</v>
      </c>
    </row>
    <row r="10" spans="6:21" ht="14.5" customHeight="1" x14ac:dyDescent="0.35">
      <c r="F10" s="15" t="str">
        <f>INDEX(TBL_Employees[EEID],'Employees List'!$U$10+ROW(A1)-1)</f>
        <v>E02191</v>
      </c>
      <c r="G10" s="15" t="str">
        <f>INDEX(TBL_Employees[Full Name],'Employees List'!$U$10+ROW(B1)-1)</f>
        <v>Maria Sun</v>
      </c>
      <c r="H10" s="15" t="str">
        <f>INDEX(TBL_Employees[Job Title],'Employees List'!$U$10+ROW(C1)-1)</f>
        <v>Director</v>
      </c>
      <c r="I10" s="15" t="str">
        <f>INDEX(TBL_Employees[Department],'Employees List'!$U$10+ROW(D1)-1)</f>
        <v>Sales</v>
      </c>
      <c r="J10" s="15" t="str">
        <f>INDEX(TBL_Employees[Business Unit],'Employees List'!$U$10+ROW(E1)-1)</f>
        <v>Corporate</v>
      </c>
      <c r="K10" s="15" t="str">
        <f>INDEX(TBL_Employees[Gender],'Employees List'!$U$10+ROW(F1)-1)</f>
        <v>Female</v>
      </c>
      <c r="L10" s="15" t="str">
        <f>INDEX(TBL_Employees[Ethnicity],'Employees List'!$U$10+ROW(G1)-1)</f>
        <v>Asian</v>
      </c>
      <c r="M10" s="15">
        <f>INDEX(TBL_Employees[Age],'Employees List'!$U$10+ROW(H1)-1)</f>
        <v>25</v>
      </c>
      <c r="N10" s="26">
        <f>INDEX(TBL_Employees[Hire Date],'Employees List'!$U$10+ROW(I1)-1)</f>
        <v>44549</v>
      </c>
      <c r="O10" s="27">
        <f>INDEX(TBL_Employees[Annual Salary],'Employees List'!$U$10+ROW(J1)-1)</f>
        <v>150666</v>
      </c>
      <c r="P10" s="25">
        <f>INDEX(TBL_Employees[Bonus %],'Employees List'!$U$10+ROW(K1)-1)</f>
        <v>0.23</v>
      </c>
      <c r="Q10" s="15" t="str">
        <f>INDEX(TBL_Employees[Country],'Employees List'!$U$10+ROW(L1)-1)</f>
        <v>China</v>
      </c>
      <c r="R10" s="15" t="str">
        <f>INDEX(TBL_Employees[City],'Employees List'!$U$10+ROW(M1)-1)</f>
        <v>Chengdu</v>
      </c>
      <c r="S10" s="29" t="str">
        <f>INDEX(TBL_Employees[Exit Date],'Employees List'!$U$10+ROW(N1)-1)</f>
        <v/>
      </c>
      <c r="U10" s="21">
        <v>985</v>
      </c>
    </row>
    <row r="11" spans="6:21" ht="14.5" customHeight="1" x14ac:dyDescent="0.35">
      <c r="F11" s="15" t="str">
        <f>INDEX(TBL_Employees[EEID],'Employees List'!$U$10+ROW(A2)-1)</f>
        <v>E00156</v>
      </c>
      <c r="G11" s="15" t="str">
        <f>INDEX(TBL_Employees[Full Name],'Employees List'!$U$10+ROW(B2)-1)</f>
        <v>Madelyn Scott</v>
      </c>
      <c r="H11" s="15" t="str">
        <f>INDEX(TBL_Employees[Job Title],'Employees List'!$U$10+ROW(C2)-1)</f>
        <v>Sr. Manger</v>
      </c>
      <c r="I11" s="15" t="str">
        <f>INDEX(TBL_Employees[Department],'Employees List'!$U$10+ROW(D2)-1)</f>
        <v>IT</v>
      </c>
      <c r="J11" s="15" t="str">
        <f>INDEX(TBL_Employees[Business Unit],'Employees List'!$U$10+ROW(E2)-1)</f>
        <v>Research &amp; Development</v>
      </c>
      <c r="K11" s="15" t="str">
        <f>INDEX(TBL_Employees[Gender],'Employees List'!$U$10+ROW(F2)-1)</f>
        <v>Female</v>
      </c>
      <c r="L11" s="15" t="str">
        <f>INDEX(TBL_Employees[Ethnicity],'Employees List'!$U$10+ROW(G2)-1)</f>
        <v>Caucasian</v>
      </c>
      <c r="M11" s="15">
        <f>INDEX(TBL_Employees[Age],'Employees List'!$U$10+ROW(H2)-1)</f>
        <v>46</v>
      </c>
      <c r="N11" s="26">
        <f>INDEX(TBL_Employees[Hire Date],'Employees List'!$U$10+ROW(I2)-1)</f>
        <v>37265</v>
      </c>
      <c r="O11" s="27">
        <f>INDEX(TBL_Employees[Annual Salary],'Employees List'!$U$10+ROW(J2)-1)</f>
        <v>148035</v>
      </c>
      <c r="P11" s="25">
        <f>INDEX(TBL_Employees[Bonus %],'Employees List'!$U$10+ROW(K2)-1)</f>
        <v>0.14000000000000001</v>
      </c>
      <c r="Q11" s="15" t="str">
        <f>INDEX(TBL_Employees[Country],'Employees List'!$U$10+ROW(L2)-1)</f>
        <v>United States</v>
      </c>
      <c r="R11" s="15" t="str">
        <f>INDEX(TBL_Employees[City],'Employees List'!$U$10+ROW(M2)-1)</f>
        <v>Phoenix</v>
      </c>
      <c r="S11" s="29" t="str">
        <f>INDEX(TBL_Employees[Exit Date],'Employees List'!$U$10+ROW(N2)-1)</f>
        <v/>
      </c>
    </row>
    <row r="12" spans="6:21" ht="14.5" customHeight="1" x14ac:dyDescent="0.35">
      <c r="F12" s="15" t="str">
        <f>INDEX(TBL_Employees[EEID],'Employees List'!$U$10+ROW(A3)-1)</f>
        <v>E03349</v>
      </c>
      <c r="G12" s="15" t="str">
        <f>INDEX(TBL_Employees[Full Name],'Employees List'!$U$10+ROW(B3)-1)</f>
        <v>Dylan Chin</v>
      </c>
      <c r="H12" s="15" t="str">
        <f>INDEX(TBL_Employees[Job Title],'Employees List'!$U$10+ROW(C3)-1)</f>
        <v>Director</v>
      </c>
      <c r="I12" s="15" t="str">
        <f>INDEX(TBL_Employees[Department],'Employees List'!$U$10+ROW(D3)-1)</f>
        <v>Finance</v>
      </c>
      <c r="J12" s="15" t="str">
        <f>INDEX(TBL_Employees[Business Unit],'Employees List'!$U$10+ROW(E3)-1)</f>
        <v>Corporate</v>
      </c>
      <c r="K12" s="15" t="str">
        <f>INDEX(TBL_Employees[Gender],'Employees List'!$U$10+ROW(F3)-1)</f>
        <v>Male</v>
      </c>
      <c r="L12" s="15" t="str">
        <f>INDEX(TBL_Employees[Ethnicity],'Employees List'!$U$10+ROW(G3)-1)</f>
        <v>Asian</v>
      </c>
      <c r="M12" s="15">
        <f>INDEX(TBL_Employees[Age],'Employees List'!$U$10+ROW(H3)-1)</f>
        <v>60</v>
      </c>
      <c r="N12" s="26">
        <f>INDEX(TBL_Employees[Hire Date],'Employees List'!$U$10+ROW(I3)-1)</f>
        <v>42891</v>
      </c>
      <c r="O12" s="27">
        <f>INDEX(TBL_Employees[Annual Salary],'Employees List'!$U$10+ROW(J3)-1)</f>
        <v>158898</v>
      </c>
      <c r="P12" s="25">
        <f>INDEX(TBL_Employees[Bonus %],'Employees List'!$U$10+ROW(K3)-1)</f>
        <v>0.18</v>
      </c>
      <c r="Q12" s="15" t="str">
        <f>INDEX(TBL_Employees[Country],'Employees List'!$U$10+ROW(L3)-1)</f>
        <v>United States</v>
      </c>
      <c r="R12" s="15" t="str">
        <f>INDEX(TBL_Employees[City],'Employees List'!$U$10+ROW(M3)-1)</f>
        <v>Miami</v>
      </c>
      <c r="S12" s="29" t="str">
        <f>INDEX(TBL_Employees[Exit Date],'Employees List'!$U$10+ROW(N3)-1)</f>
        <v/>
      </c>
    </row>
    <row r="13" spans="6:21" ht="14.5" customHeight="1" x14ac:dyDescent="0.35">
      <c r="F13" s="15" t="str">
        <f>INDEX(TBL_Employees[EEID],'Employees List'!$U$10+ROW(A4)-1)</f>
        <v>E04032</v>
      </c>
      <c r="G13" s="15" t="str">
        <f>INDEX(TBL_Employees[Full Name],'Employees List'!$U$10+ROW(B4)-1)</f>
        <v>Emery Zhang</v>
      </c>
      <c r="H13" s="15" t="str">
        <f>INDEX(TBL_Employees[Job Title],'Employees List'!$U$10+ROW(C4)-1)</f>
        <v>Field Engineer</v>
      </c>
      <c r="I13" s="15" t="str">
        <f>INDEX(TBL_Employees[Department],'Employees List'!$U$10+ROW(D4)-1)</f>
        <v>Engineering</v>
      </c>
      <c r="J13" s="15" t="str">
        <f>INDEX(TBL_Employees[Business Unit],'Employees List'!$U$10+ROW(E4)-1)</f>
        <v>Corporate</v>
      </c>
      <c r="K13" s="15" t="str">
        <f>INDEX(TBL_Employees[Gender],'Employees List'!$U$10+ROW(F4)-1)</f>
        <v>Female</v>
      </c>
      <c r="L13" s="15" t="str">
        <f>INDEX(TBL_Employees[Ethnicity],'Employees List'!$U$10+ROW(G4)-1)</f>
        <v>Asian</v>
      </c>
      <c r="M13" s="15">
        <f>INDEX(TBL_Employees[Age],'Employees List'!$U$10+ROW(H4)-1)</f>
        <v>45</v>
      </c>
      <c r="N13" s="26">
        <f>INDEX(TBL_Employees[Hire Date],'Employees List'!$U$10+ROW(I4)-1)</f>
        <v>40967</v>
      </c>
      <c r="O13" s="27">
        <f>INDEX(TBL_Employees[Annual Salary],'Employees List'!$U$10+ROW(J4)-1)</f>
        <v>89659</v>
      </c>
      <c r="P13" s="25">
        <f>INDEX(TBL_Employees[Bonus %],'Employees List'!$U$10+ROW(K4)-1)</f>
        <v>0</v>
      </c>
      <c r="Q13" s="15" t="str">
        <f>INDEX(TBL_Employees[Country],'Employees List'!$U$10+ROW(L4)-1)</f>
        <v>China</v>
      </c>
      <c r="R13" s="15" t="str">
        <f>INDEX(TBL_Employees[City],'Employees List'!$U$10+ROW(M4)-1)</f>
        <v>Beijing</v>
      </c>
      <c r="S13" s="29" t="str">
        <f>INDEX(TBL_Employees[Exit Date],'Employees List'!$U$10+ROW(N4)-1)</f>
        <v/>
      </c>
    </row>
    <row r="14" spans="6:21" ht="14.5" customHeight="1" x14ac:dyDescent="0.35">
      <c r="F14" s="15" t="str">
        <f>INDEX(TBL_Employees[EEID],'Employees List'!$U$10+ROW(A5)-1)</f>
        <v>E00005</v>
      </c>
      <c r="G14" s="15" t="str">
        <f>INDEX(TBL_Employees[Full Name],'Employees List'!$U$10+ROW(B5)-1)</f>
        <v>Riley Washington</v>
      </c>
      <c r="H14" s="15" t="str">
        <f>INDEX(TBL_Employees[Job Title],'Employees List'!$U$10+ROW(C5)-1)</f>
        <v>Director</v>
      </c>
      <c r="I14" s="15" t="str">
        <f>INDEX(TBL_Employees[Department],'Employees List'!$U$10+ROW(D5)-1)</f>
        <v>Sales</v>
      </c>
      <c r="J14" s="15" t="str">
        <f>INDEX(TBL_Employees[Business Unit],'Employees List'!$U$10+ROW(E5)-1)</f>
        <v>Speciality Products</v>
      </c>
      <c r="K14" s="15" t="str">
        <f>INDEX(TBL_Employees[Gender],'Employees List'!$U$10+ROW(F5)-1)</f>
        <v>Female</v>
      </c>
      <c r="L14" s="15" t="str">
        <f>INDEX(TBL_Employees[Ethnicity],'Employees List'!$U$10+ROW(G5)-1)</f>
        <v>Caucasian</v>
      </c>
      <c r="M14" s="15">
        <f>INDEX(TBL_Employees[Age],'Employees List'!$U$10+ROW(H5)-1)</f>
        <v>39</v>
      </c>
      <c r="N14" s="26">
        <f>INDEX(TBL_Employees[Hire Date],'Employees List'!$U$10+ROW(I5)-1)</f>
        <v>39201</v>
      </c>
      <c r="O14" s="27">
        <f>INDEX(TBL_Employees[Annual Salary],'Employees List'!$U$10+ROW(J5)-1)</f>
        <v>171487</v>
      </c>
      <c r="P14" s="25">
        <f>INDEX(TBL_Employees[Bonus %],'Employees List'!$U$10+ROW(K5)-1)</f>
        <v>0.23</v>
      </c>
      <c r="Q14" s="15" t="str">
        <f>INDEX(TBL_Employees[Country],'Employees List'!$U$10+ROW(L5)-1)</f>
        <v>United States</v>
      </c>
      <c r="R14" s="15" t="str">
        <f>INDEX(TBL_Employees[City],'Employees List'!$U$10+ROW(M5)-1)</f>
        <v>Phoenix</v>
      </c>
      <c r="S14" s="29" t="str">
        <f>INDEX(TBL_Employees[Exit Date],'Employees List'!$U$10+ROW(N5)-1)</f>
        <v/>
      </c>
    </row>
    <row r="15" spans="6:21" ht="14.5" customHeight="1" x14ac:dyDescent="0.35">
      <c r="F15" s="15" t="str">
        <f>INDEX(TBL_Employees[EEID],'Employees List'!$U$10+ROW(A6)-1)</f>
        <v>E04354</v>
      </c>
      <c r="G15" s="15" t="str">
        <f>INDEX(TBL_Employees[Full Name],'Employees List'!$U$10+ROW(B6)-1)</f>
        <v>Raelynn Rios</v>
      </c>
      <c r="H15" s="15" t="str">
        <f>INDEX(TBL_Employees[Job Title],'Employees List'!$U$10+ROW(C6)-1)</f>
        <v>Vice President</v>
      </c>
      <c r="I15" s="15" t="str">
        <f>INDEX(TBL_Employees[Department],'Employees List'!$U$10+ROW(D6)-1)</f>
        <v>Sales</v>
      </c>
      <c r="J15" s="15" t="str">
        <f>INDEX(TBL_Employees[Business Unit],'Employees List'!$U$10+ROW(E6)-1)</f>
        <v>Manufacturing</v>
      </c>
      <c r="K15" s="15" t="str">
        <f>INDEX(TBL_Employees[Gender],'Employees List'!$U$10+ROW(F6)-1)</f>
        <v>Female</v>
      </c>
      <c r="L15" s="15" t="str">
        <f>INDEX(TBL_Employees[Ethnicity],'Employees List'!$U$10+ROW(G6)-1)</f>
        <v>Latino</v>
      </c>
      <c r="M15" s="15">
        <f>INDEX(TBL_Employees[Age],'Employees List'!$U$10+ROW(H6)-1)</f>
        <v>43</v>
      </c>
      <c r="N15" s="26">
        <f>INDEX(TBL_Employees[Hire Date],'Employees List'!$U$10+ROW(I6)-1)</f>
        <v>42603</v>
      </c>
      <c r="O15" s="27">
        <f>INDEX(TBL_Employees[Annual Salary],'Employees List'!$U$10+ROW(J6)-1)</f>
        <v>258498</v>
      </c>
      <c r="P15" s="25">
        <f>INDEX(TBL_Employees[Bonus %],'Employees List'!$U$10+ROW(K6)-1)</f>
        <v>0.35</v>
      </c>
      <c r="Q15" s="15" t="str">
        <f>INDEX(TBL_Employees[Country],'Employees List'!$U$10+ROW(L6)-1)</f>
        <v>United States</v>
      </c>
      <c r="R15" s="15" t="str">
        <f>INDEX(TBL_Employees[City],'Employees List'!$U$10+ROW(M6)-1)</f>
        <v>Columbus</v>
      </c>
      <c r="S15" s="29" t="str">
        <f>INDEX(TBL_Employees[Exit Date],'Employees List'!$U$10+ROW(N6)-1)</f>
        <v/>
      </c>
    </row>
    <row r="16" spans="6:21" ht="14.5" customHeight="1" x14ac:dyDescent="0.35">
      <c r="F16" s="15" t="str">
        <f>INDEX(TBL_Employees[EEID],'Employees List'!$U$10+ROW(A7)-1)</f>
        <v>E01578</v>
      </c>
      <c r="G16" s="15" t="str">
        <f>INDEX(TBL_Employees[Full Name],'Employees List'!$U$10+ROW(B7)-1)</f>
        <v>Anthony Hong</v>
      </c>
      <c r="H16" s="15" t="str">
        <f>INDEX(TBL_Employees[Job Title],'Employees List'!$U$10+ROW(C7)-1)</f>
        <v>Sr. Manger</v>
      </c>
      <c r="I16" s="15" t="str">
        <f>INDEX(TBL_Employees[Department],'Employees List'!$U$10+ROW(D7)-1)</f>
        <v>IT</v>
      </c>
      <c r="J16" s="15" t="str">
        <f>INDEX(TBL_Employees[Business Unit],'Employees List'!$U$10+ROW(E7)-1)</f>
        <v>Research &amp; Development</v>
      </c>
      <c r="K16" s="15" t="str">
        <f>INDEX(TBL_Employees[Gender],'Employees List'!$U$10+ROW(F7)-1)</f>
        <v>Male</v>
      </c>
      <c r="L16" s="15" t="str">
        <f>INDEX(TBL_Employees[Ethnicity],'Employees List'!$U$10+ROW(G7)-1)</f>
        <v>Asian</v>
      </c>
      <c r="M16" s="15">
        <f>INDEX(TBL_Employees[Age],'Employees List'!$U$10+ROW(H7)-1)</f>
        <v>37</v>
      </c>
      <c r="N16" s="26">
        <f>INDEX(TBL_Employees[Hire Date],'Employees List'!$U$10+ROW(I7)-1)</f>
        <v>40511</v>
      </c>
      <c r="O16" s="27">
        <f>INDEX(TBL_Employees[Annual Salary],'Employees List'!$U$10+ROW(J7)-1)</f>
        <v>146961</v>
      </c>
      <c r="P16" s="25">
        <f>INDEX(TBL_Employees[Bonus %],'Employees List'!$U$10+ROW(K7)-1)</f>
        <v>0.11</v>
      </c>
      <c r="Q16" s="15" t="str">
        <f>INDEX(TBL_Employees[Country],'Employees List'!$U$10+ROW(L7)-1)</f>
        <v>United States</v>
      </c>
      <c r="R16" s="15" t="str">
        <f>INDEX(TBL_Employees[City],'Employees List'!$U$10+ROW(M7)-1)</f>
        <v>Columbus</v>
      </c>
      <c r="S16" s="29" t="str">
        <f>INDEX(TBL_Employees[Exit Date],'Employees List'!$U$10+ROW(N7)-1)</f>
        <v>21.06.2023</v>
      </c>
    </row>
    <row r="17" spans="6:21" ht="14.5" customHeight="1" x14ac:dyDescent="0.35">
      <c r="F17" s="15" t="str">
        <f>INDEX(TBL_Employees[EEID],'Employees List'!$U$10+ROW(A8)-1)</f>
        <v>E03430</v>
      </c>
      <c r="G17" s="15" t="str">
        <f>INDEX(TBL_Employees[Full Name],'Employees List'!$U$10+ROW(B8)-1)</f>
        <v>Leo Herrera</v>
      </c>
      <c r="H17" s="15" t="str">
        <f>INDEX(TBL_Employees[Job Title],'Employees List'!$U$10+ROW(C8)-1)</f>
        <v>Sr. Business Partner</v>
      </c>
      <c r="I17" s="15" t="str">
        <f>INDEX(TBL_Employees[Department],'Employees List'!$U$10+ROW(D8)-1)</f>
        <v>Human Resources</v>
      </c>
      <c r="J17" s="15" t="str">
        <f>INDEX(TBL_Employees[Business Unit],'Employees List'!$U$10+ROW(E8)-1)</f>
        <v>Research &amp; Development</v>
      </c>
      <c r="K17" s="15" t="str">
        <f>INDEX(TBL_Employees[Gender],'Employees List'!$U$10+ROW(F8)-1)</f>
        <v>Male</v>
      </c>
      <c r="L17" s="15" t="str">
        <f>INDEX(TBL_Employees[Ethnicity],'Employees List'!$U$10+ROW(G8)-1)</f>
        <v>Latino</v>
      </c>
      <c r="M17" s="15">
        <f>INDEX(TBL_Employees[Age],'Employees List'!$U$10+ROW(H8)-1)</f>
        <v>48</v>
      </c>
      <c r="N17" s="26">
        <f>INDEX(TBL_Employees[Hire Date],'Employees List'!$U$10+ROW(I8)-1)</f>
        <v>35907</v>
      </c>
      <c r="O17" s="27">
        <f>INDEX(TBL_Employees[Annual Salary],'Employees List'!$U$10+ROW(J8)-1)</f>
        <v>85369</v>
      </c>
      <c r="P17" s="25">
        <f>INDEX(TBL_Employees[Bonus %],'Employees List'!$U$10+ROW(K8)-1)</f>
        <v>0</v>
      </c>
      <c r="Q17" s="15" t="str">
        <f>INDEX(TBL_Employees[Country],'Employees List'!$U$10+ROW(L8)-1)</f>
        <v>Brazil</v>
      </c>
      <c r="R17" s="15" t="str">
        <f>INDEX(TBL_Employees[City],'Employees List'!$U$10+ROW(M8)-1)</f>
        <v>Manaus</v>
      </c>
      <c r="S17" s="29">
        <f>INDEX(TBL_Employees[Exit Date],'Employees List'!$U$10+ROW(N8)-1)</f>
        <v>38318</v>
      </c>
    </row>
    <row r="18" spans="6:21" ht="14.5" customHeight="1" x14ac:dyDescent="0.35">
      <c r="F18" s="15" t="str">
        <f>INDEX(TBL_Employees[EEID],'Employees List'!$U$10+ROW(A9)-1)</f>
        <v>E03058</v>
      </c>
      <c r="G18" s="15" t="str">
        <f>INDEX(TBL_Employees[Full Name],'Employees List'!$U$10+ROW(B9)-1)</f>
        <v>Robert Wright</v>
      </c>
      <c r="H18" s="15" t="str">
        <f>INDEX(TBL_Employees[Job Title],'Employees List'!$U$10+ROW(C9)-1)</f>
        <v>Technical Architect</v>
      </c>
      <c r="I18" s="15" t="str">
        <f>INDEX(TBL_Employees[Department],'Employees List'!$U$10+ROW(D9)-1)</f>
        <v>IT</v>
      </c>
      <c r="J18" s="15" t="str">
        <f>INDEX(TBL_Employees[Business Unit],'Employees List'!$U$10+ROW(E9)-1)</f>
        <v>Manufacturing</v>
      </c>
      <c r="K18" s="15" t="str">
        <f>INDEX(TBL_Employees[Gender],'Employees List'!$U$10+ROW(F9)-1)</f>
        <v>Male</v>
      </c>
      <c r="L18" s="15" t="str">
        <f>INDEX(TBL_Employees[Ethnicity],'Employees List'!$U$10+ROW(G9)-1)</f>
        <v>Caucasian</v>
      </c>
      <c r="M18" s="15">
        <f>INDEX(TBL_Employees[Age],'Employees List'!$U$10+ROW(H9)-1)</f>
        <v>30</v>
      </c>
      <c r="N18" s="26">
        <f>INDEX(TBL_Employees[Hire Date],'Employees List'!$U$10+ROW(I9)-1)</f>
        <v>42169</v>
      </c>
      <c r="O18" s="27">
        <f>INDEX(TBL_Employees[Annual Salary],'Employees List'!$U$10+ROW(J9)-1)</f>
        <v>67489</v>
      </c>
      <c r="P18" s="25">
        <f>INDEX(TBL_Employees[Bonus %],'Employees List'!$U$10+ROW(K9)-1)</f>
        <v>0</v>
      </c>
      <c r="Q18" s="15" t="str">
        <f>INDEX(TBL_Employees[Country],'Employees List'!$U$10+ROW(L9)-1)</f>
        <v>United States</v>
      </c>
      <c r="R18" s="15" t="str">
        <f>INDEX(TBL_Employees[City],'Employees List'!$U$10+ROW(M9)-1)</f>
        <v>Chicago</v>
      </c>
      <c r="S18" s="29" t="str">
        <f>INDEX(TBL_Employees[Exit Date],'Employees List'!$U$10+ROW(N9)-1)</f>
        <v/>
      </c>
    </row>
    <row r="19" spans="6:21" ht="14.5" customHeight="1" x14ac:dyDescent="0.35">
      <c r="F19" s="15" t="str">
        <f>INDEX(TBL_Employees[EEID],'Employees List'!$U$10+ROW(A10)-1)</f>
        <v>E04762</v>
      </c>
      <c r="G19" s="15" t="str">
        <f>INDEX(TBL_Employees[Full Name],'Employees List'!$U$10+ROW(B10)-1)</f>
        <v>Audrey Richardson</v>
      </c>
      <c r="H19" s="15" t="str">
        <f>INDEX(TBL_Employees[Job Title],'Employees List'!$U$10+ROW(C10)-1)</f>
        <v>Director</v>
      </c>
      <c r="I19" s="15" t="str">
        <f>INDEX(TBL_Employees[Department],'Employees List'!$U$10+ROW(D10)-1)</f>
        <v>IT</v>
      </c>
      <c r="J19" s="15" t="str">
        <f>INDEX(TBL_Employees[Business Unit],'Employees List'!$U$10+ROW(E10)-1)</f>
        <v>Manufacturing</v>
      </c>
      <c r="K19" s="15" t="str">
        <f>INDEX(TBL_Employees[Gender],'Employees List'!$U$10+ROW(F10)-1)</f>
        <v>Female</v>
      </c>
      <c r="L19" s="15" t="str">
        <f>INDEX(TBL_Employees[Ethnicity],'Employees List'!$U$10+ROW(G10)-1)</f>
        <v>Caucasian</v>
      </c>
      <c r="M19" s="15">
        <f>INDEX(TBL_Employees[Age],'Employees List'!$U$10+ROW(H10)-1)</f>
        <v>46</v>
      </c>
      <c r="N19" s="26">
        <f>INDEX(TBL_Employees[Hire Date],'Employees List'!$U$10+ROW(I10)-1)</f>
        <v>43379</v>
      </c>
      <c r="O19" s="27">
        <f>INDEX(TBL_Employees[Annual Salary],'Employees List'!$U$10+ROW(J10)-1)</f>
        <v>166259</v>
      </c>
      <c r="P19" s="25">
        <f>INDEX(TBL_Employees[Bonus %],'Employees List'!$U$10+ROW(K10)-1)</f>
        <v>0.17</v>
      </c>
      <c r="Q19" s="15" t="str">
        <f>INDEX(TBL_Employees[Country],'Employees List'!$U$10+ROW(L10)-1)</f>
        <v>United States</v>
      </c>
      <c r="R19" s="15" t="str">
        <f>INDEX(TBL_Employees[City],'Employees List'!$U$10+ROW(M10)-1)</f>
        <v>Chicago</v>
      </c>
      <c r="S19" s="29" t="str">
        <f>INDEX(TBL_Employees[Exit Date],'Employees List'!$U$10+ROW(N10)-1)</f>
        <v/>
      </c>
    </row>
    <row r="20" spans="6:21" ht="14.5" customHeight="1" x14ac:dyDescent="0.35">
      <c r="F20" s="15" t="str">
        <f>INDEX(TBL_Employees[EEID],'Employees List'!$U$10+ROW(A11)-1)</f>
        <v>E01148</v>
      </c>
      <c r="G20" s="15" t="str">
        <f>INDEX(TBL_Employees[Full Name],'Employees List'!$U$10+ROW(B11)-1)</f>
        <v>Scarlett Kumar</v>
      </c>
      <c r="H20" s="15" t="str">
        <f>INDEX(TBL_Employees[Job Title],'Employees List'!$U$10+ROW(C11)-1)</f>
        <v>Systems Analyst</v>
      </c>
      <c r="I20" s="15" t="str">
        <f>INDEX(TBL_Employees[Department],'Employees List'!$U$10+ROW(D11)-1)</f>
        <v>IT</v>
      </c>
      <c r="J20" s="15" t="str">
        <f>INDEX(TBL_Employees[Business Unit],'Employees List'!$U$10+ROW(E11)-1)</f>
        <v>Corporate</v>
      </c>
      <c r="K20" s="15" t="str">
        <f>INDEX(TBL_Employees[Gender],'Employees List'!$U$10+ROW(F11)-1)</f>
        <v>Female</v>
      </c>
      <c r="L20" s="15" t="str">
        <f>INDEX(TBL_Employees[Ethnicity],'Employees List'!$U$10+ROW(G11)-1)</f>
        <v>Asian</v>
      </c>
      <c r="M20" s="15">
        <f>INDEX(TBL_Employees[Age],'Employees List'!$U$10+ROW(H11)-1)</f>
        <v>55</v>
      </c>
      <c r="N20" s="26">
        <f>INDEX(TBL_Employees[Hire Date],'Employees List'!$U$10+ROW(I11)-1)</f>
        <v>39820</v>
      </c>
      <c r="O20" s="27">
        <f>INDEX(TBL_Employees[Annual Salary],'Employees List'!$U$10+ROW(J11)-1)</f>
        <v>47032</v>
      </c>
      <c r="P20" s="25">
        <f>INDEX(TBL_Employees[Bonus %],'Employees List'!$U$10+ROW(K11)-1)</f>
        <v>0</v>
      </c>
      <c r="Q20" s="15" t="str">
        <f>INDEX(TBL_Employees[Country],'Employees List'!$U$10+ROW(L11)-1)</f>
        <v>United States</v>
      </c>
      <c r="R20" s="15" t="str">
        <f>INDEX(TBL_Employees[City],'Employees List'!$U$10+ROW(M11)-1)</f>
        <v>Columbus</v>
      </c>
      <c r="S20" s="29" t="str">
        <f>INDEX(TBL_Employees[Exit Date],'Employees List'!$U$10+ROW(N11)-1)</f>
        <v/>
      </c>
      <c r="U20" s="21">
        <f>COUNTA(TBL_Employees[EEID]) - 15</f>
        <v>985</v>
      </c>
    </row>
    <row r="21" spans="6:21" ht="14.5" customHeight="1" x14ac:dyDescent="0.35">
      <c r="F21" s="15" t="str">
        <f>INDEX(TBL_Employees[EEID],'Employees List'!$U$10+ROW(A12)-1)</f>
        <v>E03094</v>
      </c>
      <c r="G21" s="15" t="str">
        <f>INDEX(TBL_Employees[Full Name],'Employees List'!$U$10+ROW(B12)-1)</f>
        <v>Wesley Young</v>
      </c>
      <c r="H21" s="15" t="str">
        <f>INDEX(TBL_Employees[Job Title],'Employees List'!$U$10+ROW(C12)-1)</f>
        <v>Sr. Analyst</v>
      </c>
      <c r="I21" s="15" t="str">
        <f>INDEX(TBL_Employees[Department],'Employees List'!$U$10+ROW(D12)-1)</f>
        <v>Marketing</v>
      </c>
      <c r="J21" s="15" t="str">
        <f>INDEX(TBL_Employees[Business Unit],'Employees List'!$U$10+ROW(E12)-1)</f>
        <v>Speciality Products</v>
      </c>
      <c r="K21" s="15" t="str">
        <f>INDEX(TBL_Employees[Gender],'Employees List'!$U$10+ROW(F12)-1)</f>
        <v>Male</v>
      </c>
      <c r="L21" s="15" t="str">
        <f>INDEX(TBL_Employees[Ethnicity],'Employees List'!$U$10+ROW(G12)-1)</f>
        <v>Caucasian</v>
      </c>
      <c r="M21" s="15">
        <f>INDEX(TBL_Employees[Age],'Employees List'!$U$10+ROW(H12)-1)</f>
        <v>33</v>
      </c>
      <c r="N21" s="26">
        <f>INDEX(TBL_Employees[Hire Date],'Employees List'!$U$10+ROW(I12)-1)</f>
        <v>42631</v>
      </c>
      <c r="O21" s="27">
        <f>INDEX(TBL_Employees[Annual Salary],'Employees List'!$U$10+ROW(J12)-1)</f>
        <v>98427</v>
      </c>
      <c r="P21" s="25">
        <f>INDEX(TBL_Employees[Bonus %],'Employees List'!$U$10+ROW(K12)-1)</f>
        <v>0</v>
      </c>
      <c r="Q21" s="15" t="str">
        <f>INDEX(TBL_Employees[Country],'Employees List'!$U$10+ROW(L12)-1)</f>
        <v>United States</v>
      </c>
      <c r="R21" s="15" t="str">
        <f>INDEX(TBL_Employees[City],'Employees List'!$U$10+ROW(M12)-1)</f>
        <v>Columbus</v>
      </c>
      <c r="S21" s="29" t="str">
        <f>INDEX(TBL_Employees[Exit Date],'Employees List'!$U$10+ROW(N12)-1)</f>
        <v/>
      </c>
    </row>
    <row r="22" spans="6:21" ht="14.5" customHeight="1" x14ac:dyDescent="0.35">
      <c r="F22" s="15" t="str">
        <f>INDEX(TBL_Employees[EEID],'Employees List'!$U$10+ROW(A13)-1)</f>
        <v>E01909</v>
      </c>
      <c r="G22" s="15" t="str">
        <f>INDEX(TBL_Employees[Full Name],'Employees List'!$U$10+ROW(B13)-1)</f>
        <v>Lillian Khan</v>
      </c>
      <c r="H22" s="15" t="str">
        <f>INDEX(TBL_Employees[Job Title],'Employees List'!$U$10+ROW(C13)-1)</f>
        <v>Analyst</v>
      </c>
      <c r="I22" s="15" t="str">
        <f>INDEX(TBL_Employees[Department],'Employees List'!$U$10+ROW(D13)-1)</f>
        <v>Finance</v>
      </c>
      <c r="J22" s="15" t="str">
        <f>INDEX(TBL_Employees[Business Unit],'Employees List'!$U$10+ROW(E13)-1)</f>
        <v>Speciality Products</v>
      </c>
      <c r="K22" s="15" t="str">
        <f>INDEX(TBL_Employees[Gender],'Employees List'!$U$10+ROW(F13)-1)</f>
        <v>Female</v>
      </c>
      <c r="L22" s="15" t="str">
        <f>INDEX(TBL_Employees[Ethnicity],'Employees List'!$U$10+ROW(G13)-1)</f>
        <v>Asian</v>
      </c>
      <c r="M22" s="15">
        <f>INDEX(TBL_Employees[Age],'Employees List'!$U$10+ROW(H13)-1)</f>
        <v>44</v>
      </c>
      <c r="N22" s="26">
        <f>INDEX(TBL_Employees[Hire Date],'Employees List'!$U$10+ROW(I13)-1)</f>
        <v>40329</v>
      </c>
      <c r="O22" s="27">
        <f>INDEX(TBL_Employees[Annual Salary],'Employees List'!$U$10+ROW(J13)-1)</f>
        <v>47387</v>
      </c>
      <c r="P22" s="25">
        <f>INDEX(TBL_Employees[Bonus %],'Employees List'!$U$10+ROW(K13)-1)</f>
        <v>0</v>
      </c>
      <c r="Q22" s="15" t="str">
        <f>INDEX(TBL_Employees[Country],'Employees List'!$U$10+ROW(L13)-1)</f>
        <v>China</v>
      </c>
      <c r="R22" s="15" t="str">
        <f>INDEX(TBL_Employees[City],'Employees List'!$U$10+ROW(M13)-1)</f>
        <v>Chengdu</v>
      </c>
      <c r="S22" s="29">
        <f>INDEX(TBL_Employees[Exit Date],'Employees List'!$U$10+ROW(N13)-1)</f>
        <v>43108</v>
      </c>
    </row>
    <row r="23" spans="6:21" ht="14.5" customHeight="1" x14ac:dyDescent="0.35">
      <c r="F23" s="15" t="str">
        <f>INDEX(TBL_Employees[EEID],'Employees List'!$U$10+ROW(A14)-1)</f>
        <v>E04398</v>
      </c>
      <c r="G23" s="15" t="str">
        <f>INDEX(TBL_Employees[Full Name],'Employees List'!$U$10+ROW(B14)-1)</f>
        <v>Oliver Yang</v>
      </c>
      <c r="H23" s="15" t="str">
        <f>INDEX(TBL_Employees[Job Title],'Employees List'!$U$10+ROW(C14)-1)</f>
        <v>Director</v>
      </c>
      <c r="I23" s="15" t="str">
        <f>INDEX(TBL_Employees[Department],'Employees List'!$U$10+ROW(D14)-1)</f>
        <v>Marketing</v>
      </c>
      <c r="J23" s="15" t="str">
        <f>INDEX(TBL_Employees[Business Unit],'Employees List'!$U$10+ROW(E14)-1)</f>
        <v>Speciality Products</v>
      </c>
      <c r="K23" s="15" t="str">
        <f>INDEX(TBL_Employees[Gender],'Employees List'!$U$10+ROW(F14)-1)</f>
        <v>Male</v>
      </c>
      <c r="L23" s="15" t="str">
        <f>INDEX(TBL_Employees[Ethnicity],'Employees List'!$U$10+ROW(G14)-1)</f>
        <v>Asian</v>
      </c>
      <c r="M23" s="15">
        <f>INDEX(TBL_Employees[Age],'Employees List'!$U$10+ROW(H14)-1)</f>
        <v>31</v>
      </c>
      <c r="N23" s="26">
        <f>INDEX(TBL_Employees[Hire Date],'Employees List'!$U$10+ROW(I14)-1)</f>
        <v>43626</v>
      </c>
      <c r="O23" s="27">
        <f>INDEX(TBL_Employees[Annual Salary],'Employees List'!$U$10+ROW(J14)-1)</f>
        <v>176710</v>
      </c>
      <c r="P23" s="25">
        <f>INDEX(TBL_Employees[Bonus %],'Employees List'!$U$10+ROW(K14)-1)</f>
        <v>0.15</v>
      </c>
      <c r="Q23" s="15" t="str">
        <f>INDEX(TBL_Employees[Country],'Employees List'!$U$10+ROW(L14)-1)</f>
        <v>United States</v>
      </c>
      <c r="R23" s="15" t="str">
        <f>INDEX(TBL_Employees[City],'Employees List'!$U$10+ROW(M14)-1)</f>
        <v>Miami</v>
      </c>
      <c r="S23" s="29" t="str">
        <f>INDEX(TBL_Employees[Exit Date],'Employees List'!$U$10+ROW(N14)-1)</f>
        <v/>
      </c>
    </row>
    <row r="24" spans="6:21" ht="14.5" customHeight="1" x14ac:dyDescent="0.35">
      <c r="F24" s="15" t="str">
        <f>INDEX(TBL_Employees[EEID],'Employees List'!$U$10+ROW(A15)-1)</f>
        <v>E02521</v>
      </c>
      <c r="G24" s="15" t="str">
        <f>INDEX(TBL_Employees[Full Name],'Employees List'!$U$10+ROW(B15)-1)</f>
        <v>Lily Nguyen</v>
      </c>
      <c r="H24" s="15" t="str">
        <f>INDEX(TBL_Employees[Job Title],'Employees List'!$U$10+ROW(C15)-1)</f>
        <v>Sr. Analyst</v>
      </c>
      <c r="I24" s="15" t="str">
        <f>INDEX(TBL_Employees[Department],'Employees List'!$U$10+ROW(D15)-1)</f>
        <v>Finance</v>
      </c>
      <c r="J24" s="15" t="str">
        <f>INDEX(TBL_Employees[Business Unit],'Employees List'!$U$10+ROW(E15)-1)</f>
        <v>Speciality Products</v>
      </c>
      <c r="K24" s="15" t="str">
        <f>INDEX(TBL_Employees[Gender],'Employees List'!$U$10+ROW(F15)-1)</f>
        <v>Female</v>
      </c>
      <c r="L24" s="15" t="str">
        <f>INDEX(TBL_Employees[Ethnicity],'Employees List'!$U$10+ROW(G15)-1)</f>
        <v>Asian</v>
      </c>
      <c r="M24" s="15">
        <f>INDEX(TBL_Employees[Age],'Employees List'!$U$10+ROW(H15)-1)</f>
        <v>33</v>
      </c>
      <c r="N24" s="26">
        <f>INDEX(TBL_Employees[Hire Date],'Employees List'!$U$10+ROW(I15)-1)</f>
        <v>40936</v>
      </c>
      <c r="O24" s="27">
        <f>INDEX(TBL_Employees[Annual Salary],'Employees List'!$U$10+ROW(J15)-1)</f>
        <v>95960</v>
      </c>
      <c r="P24" s="25">
        <f>INDEX(TBL_Employees[Bonus %],'Employees List'!$U$10+ROW(K15)-1)</f>
        <v>0</v>
      </c>
      <c r="Q24" s="15" t="str">
        <f>INDEX(TBL_Employees[Country],'Employees List'!$U$10+ROW(L15)-1)</f>
        <v>China</v>
      </c>
      <c r="R24" s="15" t="str">
        <f>INDEX(TBL_Employees[City],'Employees List'!$U$10+ROW(M15)-1)</f>
        <v>Chengdu</v>
      </c>
      <c r="S24" s="29" t="str">
        <f>INDEX(TBL_Employees[Exit Date],'Employees List'!$U$10+ROW(N15)-1)</f>
        <v/>
      </c>
    </row>
    <row r="25" spans="6:21" ht="14.5" customHeight="1" x14ac:dyDescent="0.35">
      <c r="F25" s="15" t="str">
        <f>INDEX(TBL_Employees[EEID],'Employees List'!$U$10+ROW(A16)-1)</f>
        <v>E03545</v>
      </c>
      <c r="G25" s="15" t="str">
        <f>INDEX(TBL_Employees[Full Name],'Employees List'!$U$10+ROW(B16)-1)</f>
        <v>Sofia Cheng</v>
      </c>
      <c r="H25" s="15" t="str">
        <f>INDEX(TBL_Employees[Job Title],'Employees List'!$U$10+ROW(C16)-1)</f>
        <v>Vice President</v>
      </c>
      <c r="I25" s="15" t="str">
        <f>INDEX(TBL_Employees[Department],'Employees List'!$U$10+ROW(D16)-1)</f>
        <v>Accounting</v>
      </c>
      <c r="J25" s="15" t="str">
        <f>INDEX(TBL_Employees[Business Unit],'Employees List'!$U$10+ROW(E16)-1)</f>
        <v>Corporate</v>
      </c>
      <c r="K25" s="15" t="str">
        <f>INDEX(TBL_Employees[Gender],'Employees List'!$U$10+ROW(F16)-1)</f>
        <v>Female</v>
      </c>
      <c r="L25" s="15" t="str">
        <f>INDEX(TBL_Employees[Ethnicity],'Employees List'!$U$10+ROW(G16)-1)</f>
        <v>Asian</v>
      </c>
      <c r="M25" s="15">
        <f>INDEX(TBL_Employees[Age],'Employees List'!$U$10+ROW(H16)-1)</f>
        <v>63</v>
      </c>
      <c r="N25" s="26">
        <f>INDEX(TBL_Employees[Hire Date],'Employees List'!$U$10+ROW(I16)-1)</f>
        <v>44038</v>
      </c>
      <c r="O25" s="27">
        <f>INDEX(TBL_Employees[Annual Salary],'Employees List'!$U$10+ROW(J16)-1)</f>
        <v>216195</v>
      </c>
      <c r="P25" s="25">
        <f>INDEX(TBL_Employees[Bonus %],'Employees List'!$U$10+ROW(K16)-1)</f>
        <v>0.31</v>
      </c>
      <c r="Q25" s="15" t="str">
        <f>INDEX(TBL_Employees[Country],'Employees List'!$U$10+ROW(L16)-1)</f>
        <v>United States</v>
      </c>
      <c r="R25" s="15" t="str">
        <f>INDEX(TBL_Employees[City],'Employees List'!$U$10+ROW(M16)-1)</f>
        <v>Miami</v>
      </c>
      <c r="S25" s="29" t="str">
        <f>INDEX(TBL_Employees[Exit Date],'Employees List'!$U$10+ROW(N16)-1)</f>
        <v/>
      </c>
    </row>
    <row r="26" spans="6:21" ht="14.5" customHeight="1" x14ac:dyDescent="0.35">
      <c r="O26" s="2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ScrollBar2">
          <controlPr defaultSize="0" autoLine="0" linkedCell="U10" r:id="rId5">
            <anchor moveWithCells="1">
              <from>
                <xdr:col>19</xdr:col>
                <xdr:colOff>12700</xdr:colOff>
                <xdr:row>9</xdr:row>
                <xdr:rowOff>0</xdr:rowOff>
              </from>
              <to>
                <xdr:col>19</xdr:col>
                <xdr:colOff>196850</xdr:colOff>
                <xdr:row>24</xdr:row>
                <xdr:rowOff>177800</xdr:rowOff>
              </to>
            </anchor>
          </controlPr>
        </control>
      </mc:Choice>
      <mc:Fallback>
        <control shapeId="6151" r:id="rId4" name="ScrollBar2"/>
      </mc:Fallback>
    </mc:AlternateContent>
    <mc:AlternateContent xmlns:mc="http://schemas.openxmlformats.org/markup-compatibility/2006">
      <mc:Choice Requires="x14">
        <control shapeId="6152" r:id="rId6" name="Button 8">
          <controlPr defaultSize="0" print="0" autoFill="0" autoPict="0" macro="[0]!OpenForm1">
            <anchor moveWithCells="1" sizeWithCells="1">
              <from>
                <xdr:col>5</xdr:col>
                <xdr:colOff>0</xdr:colOff>
                <xdr:row>25</xdr:row>
                <xdr:rowOff>177800</xdr:rowOff>
              </from>
              <to>
                <xdr:col>8</xdr:col>
                <xdr:colOff>285750</xdr:colOff>
                <xdr:row>28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3" r:id="rId7" name="Button 9">
          <controlPr defaultSize="0" print="0" autoFill="0" autoPict="0" macro="[0]!Module3.OpenForm">
            <anchor moveWithCells="1" sizeWithCells="1">
              <from>
                <xdr:col>8</xdr:col>
                <xdr:colOff>920750</xdr:colOff>
                <xdr:row>25</xdr:row>
                <xdr:rowOff>152400</xdr:rowOff>
              </from>
              <to>
                <xdr:col>13</xdr:col>
                <xdr:colOff>508000</xdr:colOff>
                <xdr:row>28</xdr:row>
                <xdr:rowOff>25400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10533-2D25-412D-B89D-BEE7A3578E9E}">
  <sheetPr codeName="Лист2">
    <tabColor rgb="FFF8AD9D"/>
  </sheetPr>
  <dimension ref="A10:A26"/>
  <sheetViews>
    <sheetView showGridLines="0" showRowColHeaders="0" zoomScale="75" zoomScaleNormal="75" workbookViewId="0"/>
  </sheetViews>
  <sheetFormatPr defaultRowHeight="14.5" x14ac:dyDescent="0.35"/>
  <cols>
    <col min="6" max="6" width="15.90625" bestFit="1" customWidth="1"/>
    <col min="7" max="7" width="18.1796875" bestFit="1" customWidth="1"/>
    <col min="8" max="8" width="8.81640625" bestFit="1" customWidth="1"/>
    <col min="9" max="9" width="10.26953125" bestFit="1" customWidth="1"/>
  </cols>
  <sheetData>
    <row r="10" ht="14.5" customHeight="1" x14ac:dyDescent="0.35"/>
    <row r="11" ht="14.5" customHeight="1" x14ac:dyDescent="0.35"/>
    <row r="12" ht="14.5" customHeight="1" x14ac:dyDescent="0.35"/>
    <row r="13" ht="14.5" customHeight="1" x14ac:dyDescent="0.35"/>
    <row r="14" ht="14.5" customHeight="1" x14ac:dyDescent="0.35"/>
    <row r="15" ht="14.5" customHeight="1" x14ac:dyDescent="0.35"/>
    <row r="16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1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2FD76-7800-4809-B671-C67AAEA9D3DE}">
  <sheetPr codeName="Лист3">
    <tabColor rgb="FFF4978E"/>
  </sheetPr>
  <dimension ref="G10:H26"/>
  <sheetViews>
    <sheetView showGridLines="0" showRowColHeaders="0" zoomScale="75" zoomScaleNormal="75" workbookViewId="0"/>
  </sheetViews>
  <sheetFormatPr defaultRowHeight="14.5" x14ac:dyDescent="0.35"/>
  <cols>
    <col min="6" max="6" width="15.90625" bestFit="1" customWidth="1"/>
    <col min="7" max="7" width="17.6328125" bestFit="1" customWidth="1"/>
    <col min="8" max="8" width="8.90625" bestFit="1" customWidth="1"/>
    <col min="9" max="9" width="10.26953125" bestFit="1" customWidth="1"/>
  </cols>
  <sheetData>
    <row r="10" spans="7:8" ht="14.5" customHeight="1" x14ac:dyDescent="0.35"/>
    <row r="11" spans="7:8" ht="14.5" customHeight="1" x14ac:dyDescent="0.35"/>
    <row r="12" spans="7:8" ht="14.5" customHeight="1" x14ac:dyDescent="0.35"/>
    <row r="13" spans="7:8" ht="14.5" customHeight="1" x14ac:dyDescent="0.35"/>
    <row r="14" spans="7:8" ht="14.5" customHeight="1" x14ac:dyDescent="0.35"/>
    <row r="15" spans="7:8" ht="14.5" customHeight="1" x14ac:dyDescent="0.35"/>
    <row r="16" spans="7:8" ht="14.5" customHeight="1" x14ac:dyDescent="0.35">
      <c r="G16" s="16" t="s">
        <v>1</v>
      </c>
      <c r="H16" s="16" t="s">
        <v>1995</v>
      </c>
    </row>
    <row r="17" spans="7:8" ht="14.5" customHeight="1" x14ac:dyDescent="0.35">
      <c r="G17" s="17" t="s">
        <v>1429</v>
      </c>
      <c r="H17" s="18">
        <v>0.39</v>
      </c>
    </row>
    <row r="18" spans="7:8" ht="14.5" customHeight="1" x14ac:dyDescent="0.35">
      <c r="G18" s="17" t="s">
        <v>932</v>
      </c>
      <c r="H18" s="18">
        <v>0.39</v>
      </c>
    </row>
    <row r="19" spans="7:8" ht="14.5" customHeight="1" x14ac:dyDescent="0.35">
      <c r="G19" s="17" t="s">
        <v>1676</v>
      </c>
      <c r="H19" s="18">
        <v>0.4</v>
      </c>
    </row>
    <row r="20" spans="7:8" ht="14.5" customHeight="1" x14ac:dyDescent="0.35">
      <c r="G20" s="17" t="s">
        <v>1065</v>
      </c>
      <c r="H20" s="18">
        <v>0.4</v>
      </c>
    </row>
    <row r="21" spans="7:8" ht="14.5" customHeight="1" x14ac:dyDescent="0.35">
      <c r="G21" s="17" t="s">
        <v>1473</v>
      </c>
      <c r="H21" s="18">
        <v>0.4</v>
      </c>
    </row>
    <row r="22" spans="7:8" ht="14.5" customHeight="1" x14ac:dyDescent="0.35">
      <c r="G22" s="17" t="s">
        <v>682</v>
      </c>
      <c r="H22" s="18">
        <v>0.4</v>
      </c>
    </row>
    <row r="23" spans="7:8" ht="14.5" customHeight="1" x14ac:dyDescent="0.35">
      <c r="G23" s="17" t="s">
        <v>784</v>
      </c>
      <c r="H23" s="18">
        <v>0.4</v>
      </c>
    </row>
    <row r="24" spans="7:8" ht="14.5" customHeight="1" x14ac:dyDescent="0.35">
      <c r="G24" s="17" t="s">
        <v>745</v>
      </c>
      <c r="H24" s="18">
        <v>0.4</v>
      </c>
    </row>
    <row r="25" spans="7:8" ht="14.5" customHeight="1" x14ac:dyDescent="0.35">
      <c r="G25" s="17" t="s">
        <v>229</v>
      </c>
      <c r="H25" s="18">
        <v>0.4</v>
      </c>
    </row>
    <row r="26" spans="7:8" ht="14.5" customHeight="1" x14ac:dyDescent="0.35">
      <c r="G26" s="17" t="s">
        <v>528</v>
      </c>
      <c r="H26" s="18">
        <v>0.4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9106B-AB2A-40C8-9E6B-A931B98A2E5B}">
  <sheetPr codeName="Лист4">
    <tabColor rgb="FFF08080"/>
  </sheetPr>
  <dimension ref="A1"/>
  <sheetViews>
    <sheetView showGridLines="0" showRowColHeaders="0" zoomScale="75" zoomScaleNormal="75" workbookViewId="0">
      <selection activeCell="C21" sqref="C21"/>
    </sheetView>
  </sheetViews>
  <sheetFormatPr defaultRowHeight="14.5" x14ac:dyDescent="0.35"/>
  <sheetData>
    <row r="1" spans="1:1" x14ac:dyDescent="0.35">
      <c r="A1" s="20"/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1289F-805E-4775-B33B-5CCBA2719468}">
  <sheetPr codeName="Лист5"/>
  <dimension ref="A3:AH43"/>
  <sheetViews>
    <sheetView topLeftCell="N1" zoomScale="58" zoomScaleNormal="57" workbookViewId="0">
      <selection activeCell="V3" sqref="V3"/>
    </sheetView>
  </sheetViews>
  <sheetFormatPr defaultRowHeight="14.5" x14ac:dyDescent="0.35"/>
  <cols>
    <col min="1" max="1" width="18.26953125" bestFit="1" customWidth="1"/>
    <col min="2" max="2" width="30.26953125" bestFit="1" customWidth="1"/>
    <col min="3" max="3" width="10.7265625" customWidth="1"/>
    <col min="4" max="4" width="18.453125" bestFit="1" customWidth="1"/>
    <col min="5" max="5" width="29.36328125" bestFit="1" customWidth="1"/>
    <col min="6" max="6" width="9.54296875" customWidth="1"/>
    <col min="7" max="7" width="18.453125" bestFit="1" customWidth="1"/>
    <col min="8" max="8" width="29.90625" bestFit="1" customWidth="1"/>
    <col min="9" max="9" width="11.36328125" customWidth="1"/>
    <col min="10" max="10" width="18.453125" bestFit="1" customWidth="1"/>
    <col min="11" max="11" width="29.90625" bestFit="1" customWidth="1"/>
    <col min="12" max="12" width="9.54296875" customWidth="1"/>
    <col min="13" max="13" width="18.453125" bestFit="1" customWidth="1"/>
    <col min="14" max="14" width="29.36328125" bestFit="1" customWidth="1"/>
    <col min="15" max="16" width="18.453125" bestFit="1" customWidth="1"/>
    <col min="17" max="17" width="27.1796875" bestFit="1" customWidth="1"/>
    <col min="18" max="18" width="9.36328125" bestFit="1" customWidth="1"/>
    <col min="19" max="19" width="18.453125" bestFit="1" customWidth="1"/>
    <col min="20" max="20" width="27.1796875" bestFit="1" customWidth="1"/>
    <col min="21" max="21" width="8.90625" bestFit="1" customWidth="1"/>
    <col min="22" max="22" width="18.453125" bestFit="1" customWidth="1"/>
    <col min="23" max="23" width="29.90625" bestFit="1" customWidth="1"/>
    <col min="24" max="24" width="10.453125" bestFit="1" customWidth="1"/>
    <col min="25" max="25" width="18.453125" bestFit="1" customWidth="1"/>
    <col min="26" max="26" width="31.453125" bestFit="1" customWidth="1"/>
    <col min="27" max="27" width="5.453125" bestFit="1" customWidth="1"/>
    <col min="28" max="28" width="18.453125" bestFit="1" customWidth="1"/>
    <col min="29" max="29" width="29.90625" bestFit="1" customWidth="1"/>
    <col min="30" max="30" width="5.453125" bestFit="1" customWidth="1"/>
    <col min="31" max="31" width="18.453125" bestFit="1" customWidth="1"/>
    <col min="32" max="32" width="29.90625" bestFit="1" customWidth="1"/>
    <col min="33" max="41" width="5.453125" bestFit="1" customWidth="1"/>
    <col min="42" max="42" width="4.36328125" bestFit="1" customWidth="1"/>
    <col min="43" max="51" width="5.453125" bestFit="1" customWidth="1"/>
    <col min="52" max="52" width="4.36328125" bestFit="1" customWidth="1"/>
    <col min="53" max="61" width="5.453125" bestFit="1" customWidth="1"/>
    <col min="62" max="62" width="4.36328125" bestFit="1" customWidth="1"/>
    <col min="63" max="63" width="11.54296875" bestFit="1" customWidth="1"/>
    <col min="64" max="64" width="10.36328125" bestFit="1" customWidth="1"/>
    <col min="65" max="65" width="9.90625" bestFit="1" customWidth="1"/>
    <col min="66" max="67" width="10.90625" bestFit="1" customWidth="1"/>
    <col min="68" max="68" width="13" bestFit="1" customWidth="1"/>
    <col min="69" max="69" width="15.26953125" bestFit="1" customWidth="1"/>
    <col min="70" max="70" width="10.26953125" bestFit="1" customWidth="1"/>
    <col min="71" max="71" width="14.26953125" bestFit="1" customWidth="1"/>
    <col min="72" max="72" width="13.36328125" bestFit="1" customWidth="1"/>
    <col min="73" max="73" width="10.54296875" bestFit="1" customWidth="1"/>
    <col min="74" max="74" width="13.54296875" bestFit="1" customWidth="1"/>
    <col min="75" max="75" width="12.1796875" bestFit="1" customWidth="1"/>
    <col min="76" max="76" width="14.54296875" bestFit="1" customWidth="1"/>
    <col min="77" max="77" width="11.08984375" bestFit="1" customWidth="1"/>
    <col min="78" max="78" width="12.81640625" bestFit="1" customWidth="1"/>
    <col min="79" max="79" width="8.453125" bestFit="1" customWidth="1"/>
    <col min="80" max="80" width="8.6328125" bestFit="1" customWidth="1"/>
    <col min="81" max="81" width="11.81640625" bestFit="1" customWidth="1"/>
    <col min="82" max="82" width="12.54296875" bestFit="1" customWidth="1"/>
    <col min="83" max="83" width="10.7265625" bestFit="1" customWidth="1"/>
    <col min="84" max="84" width="13.54296875" bestFit="1" customWidth="1"/>
    <col min="85" max="85" width="9" bestFit="1" customWidth="1"/>
    <col min="86" max="86" width="11.1796875" bestFit="1" customWidth="1"/>
    <col min="87" max="87" width="11.453125" bestFit="1" customWidth="1"/>
    <col min="88" max="88" width="8.81640625" bestFit="1" customWidth="1"/>
    <col min="89" max="89" width="13.81640625" bestFit="1" customWidth="1"/>
    <col min="90" max="90" width="12.90625" bestFit="1" customWidth="1"/>
    <col min="91" max="91" width="16" bestFit="1" customWidth="1"/>
    <col min="92" max="92" width="14.1796875" bestFit="1" customWidth="1"/>
    <col min="93" max="93" width="10.08984375" bestFit="1" customWidth="1"/>
    <col min="94" max="94" width="11.1796875" bestFit="1" customWidth="1"/>
    <col min="95" max="95" width="6.36328125" bestFit="1" customWidth="1"/>
    <col min="96" max="96" width="9.90625" bestFit="1" customWidth="1"/>
    <col min="97" max="97" width="11.54296875" bestFit="1" customWidth="1"/>
    <col min="98" max="98" width="12.54296875" bestFit="1" customWidth="1"/>
    <col min="99" max="99" width="13" bestFit="1" customWidth="1"/>
    <col min="100" max="100" width="13.453125" bestFit="1" customWidth="1"/>
    <col min="101" max="101" width="13.08984375" bestFit="1" customWidth="1"/>
    <col min="102" max="102" width="14.453125" bestFit="1" customWidth="1"/>
    <col min="103" max="103" width="9.7265625" bestFit="1" customWidth="1"/>
    <col min="104" max="104" width="14.08984375" bestFit="1" customWidth="1"/>
    <col min="105" max="105" width="11.6328125" bestFit="1" customWidth="1"/>
    <col min="106" max="106" width="13.08984375" bestFit="1" customWidth="1"/>
    <col min="107" max="107" width="10.36328125" bestFit="1" customWidth="1"/>
    <col min="108" max="108" width="11.6328125" bestFit="1" customWidth="1"/>
    <col min="109" max="109" width="16.6328125" bestFit="1" customWidth="1"/>
    <col min="110" max="110" width="12.1796875" bestFit="1" customWidth="1"/>
    <col min="111" max="111" width="9.36328125" bestFit="1" customWidth="1"/>
    <col min="112" max="112" width="14.81640625" bestFit="1" customWidth="1"/>
    <col min="113" max="113" width="12.08984375" bestFit="1" customWidth="1"/>
    <col min="114" max="114" width="13.90625" bestFit="1" customWidth="1"/>
    <col min="115" max="115" width="11.1796875" bestFit="1" customWidth="1"/>
    <col min="116" max="116" width="10.81640625" bestFit="1" customWidth="1"/>
    <col min="117" max="117" width="9" bestFit="1" customWidth="1"/>
    <col min="118" max="118" width="15.7265625" bestFit="1" customWidth="1"/>
    <col min="119" max="119" width="13.90625" bestFit="1" customWidth="1"/>
    <col min="120" max="120" width="13.08984375" bestFit="1" customWidth="1"/>
    <col min="121" max="121" width="12.1796875" bestFit="1" customWidth="1"/>
    <col min="122" max="122" width="12.36328125" bestFit="1" customWidth="1"/>
    <col min="123" max="123" width="12.26953125" bestFit="1" customWidth="1"/>
    <col min="124" max="124" width="8.90625" bestFit="1" customWidth="1"/>
    <col min="125" max="125" width="9.1796875" bestFit="1" customWidth="1"/>
    <col min="126" max="126" width="10.08984375" bestFit="1" customWidth="1"/>
    <col min="127" max="127" width="8.453125" bestFit="1" customWidth="1"/>
    <col min="128" max="128" width="11.08984375" bestFit="1" customWidth="1"/>
    <col min="129" max="129" width="15.453125" bestFit="1" customWidth="1"/>
    <col min="130" max="130" width="10.81640625" bestFit="1" customWidth="1"/>
    <col min="131" max="131" width="9.1796875" bestFit="1" customWidth="1"/>
    <col min="132" max="132" width="9.36328125" bestFit="1" customWidth="1"/>
    <col min="133" max="133" width="8.26953125" bestFit="1" customWidth="1"/>
    <col min="134" max="134" width="11.81640625" bestFit="1" customWidth="1"/>
    <col min="135" max="135" width="10.54296875" bestFit="1" customWidth="1"/>
    <col min="136" max="136" width="10.453125" bestFit="1" customWidth="1"/>
    <col min="137" max="137" width="8.81640625" bestFit="1" customWidth="1"/>
    <col min="138" max="138" width="10.26953125" bestFit="1" customWidth="1"/>
    <col min="139" max="139" width="10.90625" bestFit="1" customWidth="1"/>
    <col min="140" max="140" width="7.08984375" bestFit="1" customWidth="1"/>
    <col min="141" max="141" width="10.54296875" bestFit="1" customWidth="1"/>
    <col min="142" max="142" width="11.6328125" bestFit="1" customWidth="1"/>
    <col min="143" max="143" width="10.26953125" bestFit="1" customWidth="1"/>
    <col min="144" max="144" width="11.08984375" bestFit="1" customWidth="1"/>
    <col min="145" max="145" width="16.08984375" bestFit="1" customWidth="1"/>
    <col min="146" max="146" width="13.08984375" bestFit="1" customWidth="1"/>
    <col min="147" max="147" width="12.36328125" bestFit="1" customWidth="1"/>
    <col min="148" max="148" width="14.1796875" bestFit="1" customWidth="1"/>
    <col min="149" max="149" width="16" bestFit="1" customWidth="1"/>
    <col min="150" max="150" width="12" bestFit="1" customWidth="1"/>
    <col min="151" max="151" width="14.26953125" bestFit="1" customWidth="1"/>
    <col min="152" max="152" width="14.90625" bestFit="1" customWidth="1"/>
    <col min="153" max="153" width="13.6328125" bestFit="1" customWidth="1"/>
    <col min="154" max="154" width="12.1796875" bestFit="1" customWidth="1"/>
    <col min="155" max="155" width="14.7265625" bestFit="1" customWidth="1"/>
    <col min="156" max="156" width="14.6328125" bestFit="1" customWidth="1"/>
    <col min="157" max="157" width="13.7265625" bestFit="1" customWidth="1"/>
    <col min="158" max="158" width="10.90625" bestFit="1" customWidth="1"/>
    <col min="159" max="159" width="13.453125" bestFit="1" customWidth="1"/>
    <col min="160" max="160" width="11.6328125" bestFit="1" customWidth="1"/>
    <col min="161" max="161" width="10.54296875" bestFit="1" customWidth="1"/>
    <col min="162" max="162" width="13.81640625" bestFit="1" customWidth="1"/>
    <col min="163" max="163" width="14.6328125" bestFit="1" customWidth="1"/>
    <col min="164" max="164" width="14.1796875" bestFit="1" customWidth="1"/>
    <col min="165" max="165" width="12.36328125" bestFit="1" customWidth="1"/>
    <col min="166" max="166" width="11.7265625" bestFit="1" customWidth="1"/>
    <col min="167" max="167" width="8.26953125" bestFit="1" customWidth="1"/>
    <col min="168" max="168" width="12.54296875" bestFit="1" customWidth="1"/>
    <col min="169" max="169" width="10.6328125" bestFit="1" customWidth="1"/>
    <col min="170" max="170" width="13.54296875" bestFit="1" customWidth="1"/>
    <col min="171" max="171" width="16.90625" bestFit="1" customWidth="1"/>
    <col min="172" max="172" width="14.81640625" bestFit="1" customWidth="1"/>
    <col min="173" max="173" width="10.54296875" bestFit="1" customWidth="1"/>
    <col min="174" max="174" width="14.453125" bestFit="1" customWidth="1"/>
    <col min="175" max="175" width="14.08984375" bestFit="1" customWidth="1"/>
    <col min="176" max="176" width="14" bestFit="1" customWidth="1"/>
    <col min="177" max="177" width="12.90625" bestFit="1" customWidth="1"/>
    <col min="178" max="178" width="12.453125" bestFit="1" customWidth="1"/>
    <col min="179" max="179" width="13.90625" bestFit="1" customWidth="1"/>
    <col min="180" max="180" width="11.36328125" bestFit="1" customWidth="1"/>
    <col min="181" max="181" width="9" bestFit="1" customWidth="1"/>
    <col min="182" max="182" width="11.26953125" bestFit="1" customWidth="1"/>
    <col min="183" max="183" width="10.6328125" bestFit="1" customWidth="1"/>
    <col min="184" max="184" width="10.7265625" bestFit="1" customWidth="1"/>
    <col min="185" max="185" width="12.1796875" bestFit="1" customWidth="1"/>
    <col min="186" max="186" width="11" bestFit="1" customWidth="1"/>
    <col min="187" max="187" width="15.08984375" bestFit="1" customWidth="1"/>
    <col min="188" max="188" width="16.7265625" bestFit="1" customWidth="1"/>
    <col min="189" max="189" width="10.453125" bestFit="1" customWidth="1"/>
    <col min="190" max="190" width="13.1796875" bestFit="1" customWidth="1"/>
    <col min="191" max="191" width="15.36328125" bestFit="1" customWidth="1"/>
    <col min="192" max="192" width="14.08984375" bestFit="1" customWidth="1"/>
    <col min="193" max="193" width="14.453125" bestFit="1" customWidth="1"/>
    <col min="194" max="194" width="12.453125" bestFit="1" customWidth="1"/>
    <col min="195" max="195" width="12.6328125" bestFit="1" customWidth="1"/>
    <col min="196" max="196" width="11.453125" bestFit="1" customWidth="1"/>
    <col min="197" max="197" width="12.08984375" bestFit="1" customWidth="1"/>
    <col min="198" max="198" width="10.54296875" bestFit="1" customWidth="1"/>
    <col min="199" max="199" width="11.90625" bestFit="1" customWidth="1"/>
    <col min="200" max="200" width="10.90625" bestFit="1" customWidth="1"/>
    <col min="201" max="201" width="12.7265625" bestFit="1" customWidth="1"/>
    <col min="202" max="202" width="15.1796875" bestFit="1" customWidth="1"/>
    <col min="203" max="203" width="15.453125" bestFit="1" customWidth="1"/>
    <col min="204" max="204" width="16.36328125" bestFit="1" customWidth="1"/>
    <col min="205" max="205" width="16.54296875" bestFit="1" customWidth="1"/>
    <col min="206" max="206" width="18" bestFit="1" customWidth="1"/>
    <col min="207" max="207" width="14.7265625" bestFit="1" customWidth="1"/>
    <col min="208" max="208" width="14.26953125" bestFit="1" customWidth="1"/>
    <col min="209" max="209" width="15.36328125" bestFit="1" customWidth="1"/>
    <col min="210" max="210" width="11.7265625" bestFit="1" customWidth="1"/>
    <col min="211" max="211" width="10.7265625" bestFit="1" customWidth="1"/>
    <col min="212" max="212" width="12.6328125" bestFit="1" customWidth="1"/>
    <col min="213" max="213" width="11" bestFit="1" customWidth="1"/>
    <col min="214" max="214" width="9.6328125" bestFit="1" customWidth="1"/>
    <col min="215" max="215" width="12.26953125" bestFit="1" customWidth="1"/>
    <col min="216" max="216" width="12.08984375" bestFit="1" customWidth="1"/>
    <col min="217" max="217" width="11" bestFit="1" customWidth="1"/>
    <col min="218" max="218" width="10.54296875" bestFit="1" customWidth="1"/>
    <col min="219" max="219" width="11.453125" bestFit="1" customWidth="1"/>
    <col min="220" max="220" width="12.26953125" bestFit="1" customWidth="1"/>
    <col min="221" max="221" width="13.26953125" bestFit="1" customWidth="1"/>
    <col min="222" max="222" width="10.453125" bestFit="1" customWidth="1"/>
    <col min="223" max="223" width="15.1796875" bestFit="1" customWidth="1"/>
    <col min="224" max="224" width="11.6328125" bestFit="1" customWidth="1"/>
    <col min="225" max="225" width="13.54296875" bestFit="1" customWidth="1"/>
    <col min="226" max="226" width="12.54296875" bestFit="1" customWidth="1"/>
    <col min="227" max="227" width="11.453125" bestFit="1" customWidth="1"/>
    <col min="228" max="228" width="14.6328125" bestFit="1" customWidth="1"/>
    <col min="229" max="229" width="13" bestFit="1" customWidth="1"/>
    <col min="230" max="230" width="11.6328125" bestFit="1" customWidth="1"/>
    <col min="231" max="231" width="10" bestFit="1" customWidth="1"/>
    <col min="232" max="232" width="9.26953125" bestFit="1" customWidth="1"/>
    <col min="233" max="233" width="10.36328125" bestFit="1" customWidth="1"/>
    <col min="234" max="234" width="10.26953125" bestFit="1" customWidth="1"/>
    <col min="235" max="235" width="11.453125" bestFit="1" customWidth="1"/>
    <col min="236" max="236" width="11.90625" bestFit="1" customWidth="1"/>
    <col min="237" max="237" width="12.1796875" bestFit="1" customWidth="1"/>
    <col min="238" max="238" width="11.08984375" bestFit="1" customWidth="1"/>
    <col min="239" max="239" width="15.90625" bestFit="1" customWidth="1"/>
    <col min="240" max="240" width="10.6328125" bestFit="1" customWidth="1"/>
    <col min="241" max="241" width="11.7265625" bestFit="1" customWidth="1"/>
    <col min="242" max="242" width="9.26953125" bestFit="1" customWidth="1"/>
    <col min="243" max="243" width="10.54296875" bestFit="1" customWidth="1"/>
    <col min="244" max="244" width="12.453125" bestFit="1" customWidth="1"/>
    <col min="245" max="245" width="11.7265625" bestFit="1" customWidth="1"/>
    <col min="246" max="246" width="13.7265625" bestFit="1" customWidth="1"/>
    <col min="247" max="247" width="13" bestFit="1" customWidth="1"/>
    <col min="248" max="248" width="12.36328125" bestFit="1" customWidth="1"/>
    <col min="249" max="249" width="12.1796875" bestFit="1" customWidth="1"/>
    <col min="250" max="250" width="15.08984375" bestFit="1" customWidth="1"/>
    <col min="251" max="251" width="10.54296875" bestFit="1" customWidth="1"/>
    <col min="252" max="252" width="10.26953125" bestFit="1" customWidth="1"/>
    <col min="253" max="253" width="13.7265625" bestFit="1" customWidth="1"/>
    <col min="254" max="254" width="12.54296875" bestFit="1" customWidth="1"/>
    <col min="255" max="255" width="14.81640625" bestFit="1" customWidth="1"/>
    <col min="256" max="256" width="8.26953125" bestFit="1" customWidth="1"/>
    <col min="257" max="257" width="13.90625" bestFit="1" customWidth="1"/>
    <col min="258" max="259" width="9.7265625" bestFit="1" customWidth="1"/>
    <col min="260" max="260" width="15.453125" bestFit="1" customWidth="1"/>
    <col min="261" max="262" width="11.54296875" bestFit="1" customWidth="1"/>
    <col min="263" max="263" width="10.1796875" bestFit="1" customWidth="1"/>
    <col min="264" max="264" width="11.7265625" bestFit="1" customWidth="1"/>
    <col min="265" max="265" width="11.90625" bestFit="1" customWidth="1"/>
    <col min="266" max="266" width="12.6328125" bestFit="1" customWidth="1"/>
    <col min="267" max="268" width="11.90625" bestFit="1" customWidth="1"/>
    <col min="269" max="269" width="14.54296875" bestFit="1" customWidth="1"/>
    <col min="270" max="270" width="9" bestFit="1" customWidth="1"/>
    <col min="271" max="271" width="14.81640625" bestFit="1" customWidth="1"/>
    <col min="272" max="272" width="8.81640625" bestFit="1" customWidth="1"/>
    <col min="273" max="273" width="13.7265625" bestFit="1" customWidth="1"/>
    <col min="274" max="274" width="14.1796875" bestFit="1" customWidth="1"/>
    <col min="275" max="275" width="15.1796875" bestFit="1" customWidth="1"/>
    <col min="276" max="276" width="8.90625" bestFit="1" customWidth="1"/>
    <col min="277" max="277" width="10" bestFit="1" customWidth="1"/>
    <col min="278" max="278" width="8.36328125" bestFit="1" customWidth="1"/>
    <col min="279" max="279" width="6.54296875" bestFit="1" customWidth="1"/>
    <col min="280" max="280" width="8" bestFit="1" customWidth="1"/>
    <col min="281" max="281" width="10.08984375" bestFit="1" customWidth="1"/>
    <col min="282" max="282" width="7.6328125" bestFit="1" customWidth="1"/>
    <col min="283" max="283" width="12.453125" bestFit="1" customWidth="1"/>
    <col min="284" max="284" width="7.08984375" bestFit="1" customWidth="1"/>
    <col min="285" max="285" width="10.54296875" bestFit="1" customWidth="1"/>
    <col min="286" max="286" width="11.08984375" bestFit="1" customWidth="1"/>
    <col min="287" max="287" width="7.6328125" bestFit="1" customWidth="1"/>
    <col min="288" max="288" width="11.90625" bestFit="1" customWidth="1"/>
    <col min="289" max="289" width="11" bestFit="1" customWidth="1"/>
    <col min="290" max="290" width="7.26953125" bestFit="1" customWidth="1"/>
    <col min="291" max="291" width="12.453125" bestFit="1" customWidth="1"/>
    <col min="292" max="292" width="9.26953125" bestFit="1" customWidth="1"/>
    <col min="293" max="293" width="12.1796875" bestFit="1" customWidth="1"/>
    <col min="294" max="294" width="10.08984375" bestFit="1" customWidth="1"/>
    <col min="295" max="295" width="13.26953125" bestFit="1" customWidth="1"/>
    <col min="296" max="296" width="10.81640625" bestFit="1" customWidth="1"/>
    <col min="297" max="297" width="9.90625" bestFit="1" customWidth="1"/>
    <col min="298" max="298" width="11.453125" bestFit="1" customWidth="1"/>
    <col min="299" max="299" width="12.36328125" bestFit="1" customWidth="1"/>
    <col min="300" max="300" width="10.7265625" bestFit="1" customWidth="1"/>
    <col min="301" max="301" width="9.26953125" bestFit="1" customWidth="1"/>
    <col min="302" max="302" width="14.1796875" bestFit="1" customWidth="1"/>
    <col min="303" max="303" width="9.26953125" bestFit="1" customWidth="1"/>
    <col min="304" max="304" width="10.08984375" bestFit="1" customWidth="1"/>
    <col min="305" max="305" width="14.36328125" bestFit="1" customWidth="1"/>
    <col min="306" max="306" width="9.54296875" bestFit="1" customWidth="1"/>
    <col min="307" max="307" width="10.08984375" bestFit="1" customWidth="1"/>
    <col min="308" max="308" width="10.26953125" bestFit="1" customWidth="1"/>
    <col min="309" max="309" width="10.453125" bestFit="1" customWidth="1"/>
    <col min="310" max="310" width="9.36328125" bestFit="1" customWidth="1"/>
    <col min="311" max="311" width="10.08984375" bestFit="1" customWidth="1"/>
    <col min="312" max="312" width="12.54296875" bestFit="1" customWidth="1"/>
    <col min="313" max="313" width="14.81640625" bestFit="1" customWidth="1"/>
    <col min="314" max="314" width="11.36328125" bestFit="1" customWidth="1"/>
    <col min="315" max="315" width="10.90625" bestFit="1" customWidth="1"/>
    <col min="316" max="316" width="10.453125" bestFit="1" customWidth="1"/>
    <col min="317" max="317" width="12.1796875" bestFit="1" customWidth="1"/>
    <col min="318" max="318" width="11.7265625" bestFit="1" customWidth="1"/>
    <col min="319" max="319" width="8.90625" bestFit="1" customWidth="1"/>
    <col min="320" max="320" width="11" bestFit="1" customWidth="1"/>
    <col min="321" max="321" width="10.36328125" bestFit="1" customWidth="1"/>
    <col min="322" max="322" width="12.453125" bestFit="1" customWidth="1"/>
    <col min="323" max="323" width="13.54296875" bestFit="1" customWidth="1"/>
    <col min="324" max="324" width="11.6328125" bestFit="1" customWidth="1"/>
    <col min="325" max="325" width="11.26953125" bestFit="1" customWidth="1"/>
    <col min="326" max="326" width="9.54296875" bestFit="1" customWidth="1"/>
    <col min="327" max="327" width="11.453125" bestFit="1" customWidth="1"/>
    <col min="328" max="328" width="10" bestFit="1" customWidth="1"/>
    <col min="329" max="329" width="14.08984375" bestFit="1" customWidth="1"/>
    <col min="330" max="331" width="10.1796875" bestFit="1" customWidth="1"/>
    <col min="332" max="332" width="10.90625" bestFit="1" customWidth="1"/>
    <col min="333" max="333" width="8.6328125" bestFit="1" customWidth="1"/>
    <col min="334" max="334" width="12.36328125" bestFit="1" customWidth="1"/>
    <col min="335" max="335" width="9.7265625" bestFit="1" customWidth="1"/>
    <col min="336" max="336" width="9.1796875" bestFit="1" customWidth="1"/>
    <col min="337" max="337" width="10.54296875" bestFit="1" customWidth="1"/>
    <col min="338" max="338" width="11" bestFit="1" customWidth="1"/>
    <col min="339" max="339" width="10.453125" bestFit="1" customWidth="1"/>
    <col min="340" max="340" width="11.90625" bestFit="1" customWidth="1"/>
    <col min="341" max="341" width="11.7265625" bestFit="1" customWidth="1"/>
    <col min="342" max="342" width="10.1796875" bestFit="1" customWidth="1"/>
    <col min="343" max="343" width="11.6328125" bestFit="1" customWidth="1"/>
    <col min="344" max="344" width="11.54296875" bestFit="1" customWidth="1"/>
    <col min="345" max="345" width="10.54296875" bestFit="1" customWidth="1"/>
    <col min="346" max="346" width="11.36328125" bestFit="1" customWidth="1"/>
    <col min="347" max="347" width="9.453125" bestFit="1" customWidth="1"/>
    <col min="348" max="348" width="10.26953125" bestFit="1" customWidth="1"/>
    <col min="349" max="349" width="9.36328125" bestFit="1" customWidth="1"/>
    <col min="350" max="350" width="10.54296875" bestFit="1" customWidth="1"/>
    <col min="351" max="351" width="10.36328125" bestFit="1" customWidth="1"/>
    <col min="352" max="352" width="10.90625" bestFit="1" customWidth="1"/>
    <col min="353" max="353" width="11.6328125" bestFit="1" customWidth="1"/>
    <col min="354" max="354" width="10.36328125" bestFit="1" customWidth="1"/>
    <col min="355" max="355" width="14.26953125" bestFit="1" customWidth="1"/>
    <col min="356" max="356" width="14.6328125" bestFit="1" customWidth="1"/>
    <col min="357" max="357" width="16.26953125" bestFit="1" customWidth="1"/>
    <col min="358" max="358" width="17.7265625" bestFit="1" customWidth="1"/>
    <col min="359" max="359" width="13" bestFit="1" customWidth="1"/>
    <col min="360" max="360" width="11.08984375" bestFit="1" customWidth="1"/>
    <col min="361" max="361" width="14.26953125" bestFit="1" customWidth="1"/>
    <col min="362" max="362" width="13" bestFit="1" customWidth="1"/>
    <col min="363" max="363" width="16.54296875" bestFit="1" customWidth="1"/>
    <col min="364" max="364" width="19.08984375" bestFit="1" customWidth="1"/>
    <col min="365" max="365" width="14.26953125" bestFit="1" customWidth="1"/>
    <col min="366" max="366" width="11" bestFit="1" customWidth="1"/>
    <col min="367" max="367" width="13.7265625" bestFit="1" customWidth="1"/>
    <col min="368" max="368" width="8.6328125" bestFit="1" customWidth="1"/>
    <col min="369" max="369" width="8.81640625" bestFit="1" customWidth="1"/>
    <col min="370" max="370" width="12.26953125" bestFit="1" customWidth="1"/>
    <col min="371" max="371" width="12.54296875" bestFit="1" customWidth="1"/>
    <col min="372" max="372" width="13.90625" bestFit="1" customWidth="1"/>
    <col min="373" max="373" width="11.54296875" bestFit="1" customWidth="1"/>
    <col min="374" max="374" width="11" bestFit="1" customWidth="1"/>
    <col min="375" max="375" width="12.6328125" bestFit="1" customWidth="1"/>
    <col min="376" max="376" width="12.54296875" bestFit="1" customWidth="1"/>
    <col min="377" max="377" width="11.26953125" bestFit="1" customWidth="1"/>
    <col min="378" max="378" width="9.81640625" bestFit="1" customWidth="1"/>
    <col min="379" max="379" width="9.08984375" bestFit="1" customWidth="1"/>
    <col min="380" max="380" width="8.90625" bestFit="1" customWidth="1"/>
    <col min="381" max="381" width="12.453125" bestFit="1" customWidth="1"/>
    <col min="382" max="382" width="9.26953125" bestFit="1" customWidth="1"/>
    <col min="383" max="383" width="10.54296875" bestFit="1" customWidth="1"/>
    <col min="384" max="384" width="13.1796875" bestFit="1" customWidth="1"/>
    <col min="385" max="385" width="12.54296875" bestFit="1" customWidth="1"/>
    <col min="386" max="386" width="13.6328125" bestFit="1" customWidth="1"/>
    <col min="387" max="387" width="13.08984375" bestFit="1" customWidth="1"/>
    <col min="388" max="388" width="9.54296875" bestFit="1" customWidth="1"/>
    <col min="389" max="389" width="11.54296875" bestFit="1" customWidth="1"/>
    <col min="390" max="390" width="14" bestFit="1" customWidth="1"/>
    <col min="391" max="391" width="15.7265625" bestFit="1" customWidth="1"/>
    <col min="392" max="392" width="11.90625" bestFit="1" customWidth="1"/>
    <col min="393" max="393" width="12.7265625" bestFit="1" customWidth="1"/>
    <col min="394" max="394" width="10.08984375" bestFit="1" customWidth="1"/>
    <col min="395" max="395" width="13.7265625" bestFit="1" customWidth="1"/>
    <col min="396" max="396" width="14.54296875" bestFit="1" customWidth="1"/>
    <col min="397" max="397" width="12.1796875" bestFit="1" customWidth="1"/>
    <col min="398" max="398" width="13.7265625" bestFit="1" customWidth="1"/>
    <col min="399" max="399" width="12.36328125" bestFit="1" customWidth="1"/>
    <col min="400" max="400" width="10.90625" bestFit="1" customWidth="1"/>
    <col min="401" max="401" width="9.453125" bestFit="1" customWidth="1"/>
    <col min="402" max="402" width="14.36328125" bestFit="1" customWidth="1"/>
    <col min="403" max="403" width="12.90625" bestFit="1" customWidth="1"/>
    <col min="404" max="404" width="11.36328125" bestFit="1" customWidth="1"/>
    <col min="405" max="405" width="9.1796875" bestFit="1" customWidth="1"/>
    <col min="406" max="406" width="13.7265625" bestFit="1" customWidth="1"/>
    <col min="407" max="407" width="12.453125" bestFit="1" customWidth="1"/>
    <col min="408" max="408" width="11.90625" bestFit="1" customWidth="1"/>
    <col min="409" max="409" width="14.36328125" bestFit="1" customWidth="1"/>
    <col min="410" max="410" width="13.36328125" bestFit="1" customWidth="1"/>
    <col min="411" max="411" width="11.1796875" bestFit="1" customWidth="1"/>
    <col min="412" max="412" width="12" bestFit="1" customWidth="1"/>
    <col min="413" max="413" width="13.90625" bestFit="1" customWidth="1"/>
    <col min="414" max="414" width="14.26953125" bestFit="1" customWidth="1"/>
    <col min="415" max="415" width="11.1796875" bestFit="1" customWidth="1"/>
    <col min="416" max="416" width="12.453125" bestFit="1" customWidth="1"/>
    <col min="417" max="417" width="11.6328125" bestFit="1" customWidth="1"/>
    <col min="418" max="418" width="14.90625" bestFit="1" customWidth="1"/>
    <col min="419" max="419" width="15.36328125" bestFit="1" customWidth="1"/>
    <col min="420" max="420" width="11.26953125" bestFit="1" customWidth="1"/>
    <col min="421" max="421" width="10.81640625" bestFit="1" customWidth="1"/>
    <col min="422" max="422" width="14.81640625" bestFit="1" customWidth="1"/>
    <col min="423" max="423" width="12.54296875" bestFit="1" customWidth="1"/>
    <col min="424" max="424" width="10.26953125" bestFit="1" customWidth="1"/>
    <col min="425" max="425" width="10.6328125" bestFit="1" customWidth="1"/>
    <col min="426" max="426" width="11.6328125" bestFit="1" customWidth="1"/>
    <col min="427" max="427" width="10.7265625" bestFit="1" customWidth="1"/>
    <col min="428" max="428" width="8.81640625" bestFit="1" customWidth="1"/>
    <col min="429" max="429" width="13.1796875" bestFit="1" customWidth="1"/>
    <col min="430" max="430" width="10.08984375" bestFit="1" customWidth="1"/>
    <col min="431" max="431" width="10.36328125" bestFit="1" customWidth="1"/>
    <col min="432" max="432" width="13" bestFit="1" customWidth="1"/>
    <col min="433" max="433" width="8.08984375" bestFit="1" customWidth="1"/>
    <col min="434" max="434" width="9.7265625" bestFit="1" customWidth="1"/>
    <col min="435" max="435" width="13.7265625" bestFit="1" customWidth="1"/>
    <col min="436" max="436" width="13.26953125" bestFit="1" customWidth="1"/>
    <col min="437" max="437" width="11.36328125" bestFit="1" customWidth="1"/>
    <col min="438" max="438" width="15.453125" bestFit="1" customWidth="1"/>
    <col min="439" max="439" width="12.54296875" bestFit="1" customWidth="1"/>
    <col min="440" max="440" width="13.6328125" bestFit="1" customWidth="1"/>
    <col min="441" max="441" width="13" bestFit="1" customWidth="1"/>
    <col min="442" max="442" width="15.6328125" bestFit="1" customWidth="1"/>
    <col min="443" max="443" width="10.81640625" bestFit="1" customWidth="1"/>
    <col min="444" max="444" width="11.36328125" bestFit="1" customWidth="1"/>
    <col min="445" max="445" width="11.90625" bestFit="1" customWidth="1"/>
    <col min="446" max="446" width="11.26953125" bestFit="1" customWidth="1"/>
    <col min="447" max="447" width="11.08984375" bestFit="1" customWidth="1"/>
    <col min="448" max="448" width="11" bestFit="1" customWidth="1"/>
    <col min="449" max="449" width="12.36328125" bestFit="1" customWidth="1"/>
    <col min="450" max="450" width="13.08984375" bestFit="1" customWidth="1"/>
    <col min="451" max="451" width="13.54296875" bestFit="1" customWidth="1"/>
    <col min="452" max="452" width="11.453125" bestFit="1" customWidth="1"/>
    <col min="453" max="453" width="10.08984375" bestFit="1" customWidth="1"/>
    <col min="454" max="454" width="10.36328125" bestFit="1" customWidth="1"/>
    <col min="455" max="455" width="9.453125" bestFit="1" customWidth="1"/>
    <col min="456" max="456" width="10.36328125" bestFit="1" customWidth="1"/>
    <col min="457" max="457" width="10.08984375" bestFit="1" customWidth="1"/>
    <col min="458" max="458" width="16.7265625" bestFit="1" customWidth="1"/>
    <col min="459" max="459" width="14.90625" bestFit="1" customWidth="1"/>
    <col min="460" max="460" width="12.453125" bestFit="1" customWidth="1"/>
    <col min="461" max="461" width="11.26953125" bestFit="1" customWidth="1"/>
    <col min="462" max="462" width="9.6328125" bestFit="1" customWidth="1"/>
    <col min="463" max="463" width="9.36328125" bestFit="1" customWidth="1"/>
    <col min="464" max="464" width="8.90625" bestFit="1" customWidth="1"/>
    <col min="465" max="465" width="11.7265625" bestFit="1" customWidth="1"/>
    <col min="466" max="466" width="9" bestFit="1" customWidth="1"/>
    <col min="467" max="467" width="7.1796875" bestFit="1" customWidth="1"/>
    <col min="468" max="468" width="9.54296875" bestFit="1" customWidth="1"/>
    <col min="469" max="469" width="6.81640625" bestFit="1" customWidth="1"/>
    <col min="470" max="470" width="8.81640625" bestFit="1" customWidth="1"/>
    <col min="471" max="471" width="11.1796875" bestFit="1" customWidth="1"/>
    <col min="472" max="472" width="7.81640625" bestFit="1" customWidth="1"/>
    <col min="473" max="473" width="12.36328125" bestFit="1" customWidth="1"/>
    <col min="474" max="474" width="12.08984375" bestFit="1" customWidth="1"/>
    <col min="475" max="475" width="12" bestFit="1" customWidth="1"/>
    <col min="476" max="476" width="11.36328125" bestFit="1" customWidth="1"/>
    <col min="477" max="477" width="9.7265625" bestFit="1" customWidth="1"/>
    <col min="478" max="478" width="12.54296875" bestFit="1" customWidth="1"/>
    <col min="479" max="479" width="10.26953125" bestFit="1" customWidth="1"/>
    <col min="480" max="480" width="11.90625" bestFit="1" customWidth="1"/>
    <col min="481" max="481" width="11.453125" bestFit="1" customWidth="1"/>
    <col min="482" max="482" width="9.1796875" bestFit="1" customWidth="1"/>
    <col min="483" max="483" width="10" bestFit="1" customWidth="1"/>
    <col min="484" max="484" width="11.453125" bestFit="1" customWidth="1"/>
    <col min="485" max="485" width="11" bestFit="1" customWidth="1"/>
    <col min="486" max="486" width="7.453125" bestFit="1" customWidth="1"/>
    <col min="487" max="487" width="6.36328125" bestFit="1" customWidth="1"/>
    <col min="488" max="488" width="9" bestFit="1" customWidth="1"/>
    <col min="489" max="489" width="8.36328125" bestFit="1" customWidth="1"/>
    <col min="490" max="490" width="9.7265625" bestFit="1" customWidth="1"/>
    <col min="491" max="491" width="8.1796875" bestFit="1" customWidth="1"/>
    <col min="492" max="492" width="7.453125" bestFit="1" customWidth="1"/>
    <col min="493" max="493" width="7.6328125" bestFit="1" customWidth="1"/>
    <col min="494" max="494" width="14.90625" bestFit="1" customWidth="1"/>
    <col min="495" max="495" width="9.81640625" bestFit="1" customWidth="1"/>
    <col min="496" max="496" width="13.26953125" bestFit="1" customWidth="1"/>
    <col min="497" max="497" width="10.1796875" bestFit="1" customWidth="1"/>
    <col min="498" max="498" width="9.90625" bestFit="1" customWidth="1"/>
    <col min="499" max="499" width="11.90625" bestFit="1" customWidth="1"/>
    <col min="500" max="500" width="10.1796875" bestFit="1" customWidth="1"/>
    <col min="501" max="501" width="8" bestFit="1" customWidth="1"/>
    <col min="502" max="502" width="14.453125" bestFit="1" customWidth="1"/>
    <col min="503" max="503" width="7.08984375" bestFit="1" customWidth="1"/>
    <col min="504" max="504" width="13.453125" bestFit="1" customWidth="1"/>
    <col min="505" max="505" width="14.54296875" bestFit="1" customWidth="1"/>
    <col min="506" max="506" width="12.1796875" bestFit="1" customWidth="1"/>
    <col min="507" max="507" width="11.08984375" bestFit="1" customWidth="1"/>
    <col min="508" max="509" width="10.36328125" bestFit="1" customWidth="1"/>
    <col min="510" max="510" width="10.1796875" bestFit="1" customWidth="1"/>
    <col min="511" max="511" width="10.6328125" bestFit="1" customWidth="1"/>
    <col min="512" max="512" width="12.1796875" bestFit="1" customWidth="1"/>
    <col min="513" max="513" width="10.90625" bestFit="1" customWidth="1"/>
    <col min="514" max="514" width="6.54296875" bestFit="1" customWidth="1"/>
    <col min="515" max="515" width="9.54296875" bestFit="1" customWidth="1"/>
    <col min="516" max="516" width="6.7265625" bestFit="1" customWidth="1"/>
    <col min="517" max="517" width="9" bestFit="1" customWidth="1"/>
    <col min="518" max="518" width="12.453125" bestFit="1" customWidth="1"/>
    <col min="519" max="519" width="11.7265625" bestFit="1" customWidth="1"/>
    <col min="520" max="520" width="10.81640625" bestFit="1" customWidth="1"/>
    <col min="521" max="521" width="12.81640625" bestFit="1" customWidth="1"/>
    <col min="522" max="522" width="16.08984375" bestFit="1" customWidth="1"/>
    <col min="523" max="523" width="12.90625" bestFit="1" customWidth="1"/>
    <col min="524" max="525" width="13.90625" bestFit="1" customWidth="1"/>
    <col min="526" max="527" width="14.36328125" bestFit="1" customWidth="1"/>
    <col min="528" max="528" width="10" bestFit="1" customWidth="1"/>
    <col min="529" max="529" width="9.81640625" bestFit="1" customWidth="1"/>
    <col min="530" max="530" width="11.6328125" bestFit="1" customWidth="1"/>
    <col min="531" max="531" width="9.81640625" bestFit="1" customWidth="1"/>
    <col min="532" max="532" width="14.26953125" bestFit="1" customWidth="1"/>
    <col min="533" max="533" width="10.7265625" bestFit="1" customWidth="1"/>
    <col min="534" max="534" width="11.08984375" bestFit="1" customWidth="1"/>
    <col min="535" max="535" width="10" bestFit="1" customWidth="1"/>
    <col min="536" max="536" width="14.453125" bestFit="1" customWidth="1"/>
    <col min="537" max="537" width="14.08984375" bestFit="1" customWidth="1"/>
    <col min="538" max="538" width="12.54296875" bestFit="1" customWidth="1"/>
    <col min="539" max="539" width="13.90625" bestFit="1" customWidth="1"/>
    <col min="540" max="540" width="11.08984375" bestFit="1" customWidth="1"/>
    <col min="541" max="541" width="14.26953125" bestFit="1" customWidth="1"/>
    <col min="542" max="542" width="15.08984375" bestFit="1" customWidth="1"/>
    <col min="543" max="543" width="12.1796875" bestFit="1" customWidth="1"/>
    <col min="544" max="544" width="18.08984375" bestFit="1" customWidth="1"/>
    <col min="545" max="545" width="10.90625" bestFit="1" customWidth="1"/>
    <col min="546" max="546" width="8.453125" bestFit="1" customWidth="1"/>
    <col min="547" max="547" width="9.90625" bestFit="1" customWidth="1"/>
    <col min="548" max="548" width="13.54296875" bestFit="1" customWidth="1"/>
    <col min="549" max="549" width="9.453125" bestFit="1" customWidth="1"/>
    <col min="550" max="550" width="12" bestFit="1" customWidth="1"/>
    <col min="551" max="551" width="9" bestFit="1" customWidth="1"/>
    <col min="552" max="552" width="10.90625" bestFit="1" customWidth="1"/>
    <col min="553" max="553" width="9" bestFit="1" customWidth="1"/>
    <col min="554" max="554" width="9.54296875" bestFit="1" customWidth="1"/>
    <col min="555" max="555" width="9.36328125" bestFit="1" customWidth="1"/>
    <col min="556" max="556" width="15" bestFit="1" customWidth="1"/>
    <col min="557" max="557" width="11.36328125" bestFit="1" customWidth="1"/>
    <col min="558" max="559" width="13.36328125" bestFit="1" customWidth="1"/>
    <col min="560" max="560" width="10.1796875" bestFit="1" customWidth="1"/>
    <col min="561" max="561" width="12.7265625" bestFit="1" customWidth="1"/>
    <col min="562" max="563" width="12.90625" bestFit="1" customWidth="1"/>
    <col min="564" max="564" width="10.08984375" bestFit="1" customWidth="1"/>
    <col min="565" max="565" width="10.26953125" bestFit="1" customWidth="1"/>
    <col min="566" max="566" width="14.08984375" bestFit="1" customWidth="1"/>
    <col min="567" max="567" width="8.90625" bestFit="1" customWidth="1"/>
    <col min="568" max="568" width="10.7265625" bestFit="1" customWidth="1"/>
    <col min="569" max="569" width="14.1796875" bestFit="1" customWidth="1"/>
    <col min="570" max="570" width="8.6328125" bestFit="1" customWidth="1"/>
    <col min="571" max="571" width="9.36328125" bestFit="1" customWidth="1"/>
    <col min="572" max="572" width="8.81640625" bestFit="1" customWidth="1"/>
    <col min="573" max="573" width="12.7265625" bestFit="1" customWidth="1"/>
    <col min="574" max="574" width="10.453125" bestFit="1" customWidth="1"/>
    <col min="575" max="575" width="14.08984375" bestFit="1" customWidth="1"/>
    <col min="576" max="576" width="15.26953125" bestFit="1" customWidth="1"/>
    <col min="577" max="577" width="19" bestFit="1" customWidth="1"/>
    <col min="578" max="578" width="15.54296875" bestFit="1" customWidth="1"/>
    <col min="579" max="579" width="10.7265625" bestFit="1" customWidth="1"/>
    <col min="580" max="580" width="12.453125" bestFit="1" customWidth="1"/>
    <col min="581" max="581" width="11" bestFit="1" customWidth="1"/>
    <col min="582" max="582" width="12.1796875" bestFit="1" customWidth="1"/>
    <col min="583" max="583" width="12.26953125" bestFit="1" customWidth="1"/>
    <col min="584" max="584" width="9.36328125" bestFit="1" customWidth="1"/>
    <col min="585" max="585" width="12.7265625" bestFit="1" customWidth="1"/>
    <col min="586" max="586" width="13.81640625" bestFit="1" customWidth="1"/>
    <col min="587" max="587" width="11" bestFit="1" customWidth="1"/>
    <col min="588" max="588" width="10.90625" bestFit="1" customWidth="1"/>
    <col min="589" max="589" width="9.36328125" bestFit="1" customWidth="1"/>
    <col min="590" max="590" width="10.08984375" bestFit="1" customWidth="1"/>
    <col min="591" max="591" width="8.26953125" bestFit="1" customWidth="1"/>
    <col min="592" max="592" width="10.54296875" bestFit="1" customWidth="1"/>
    <col min="593" max="593" width="9.7265625" bestFit="1" customWidth="1"/>
    <col min="594" max="594" width="12.453125" bestFit="1" customWidth="1"/>
    <col min="595" max="595" width="12.90625" bestFit="1" customWidth="1"/>
    <col min="596" max="596" width="10.08984375" bestFit="1" customWidth="1"/>
    <col min="597" max="597" width="9.1796875" bestFit="1" customWidth="1"/>
    <col min="598" max="598" width="9.81640625" bestFit="1" customWidth="1"/>
    <col min="599" max="599" width="8.54296875" bestFit="1" customWidth="1"/>
    <col min="600" max="600" width="8.81640625" bestFit="1" customWidth="1"/>
    <col min="601" max="601" width="13.1796875" bestFit="1" customWidth="1"/>
    <col min="602" max="602" width="13.26953125" bestFit="1" customWidth="1"/>
    <col min="603" max="603" width="10.90625" bestFit="1" customWidth="1"/>
    <col min="604" max="604" width="13.90625" bestFit="1" customWidth="1"/>
    <col min="605" max="605" width="15.54296875" bestFit="1" customWidth="1"/>
    <col min="606" max="606" width="15.26953125" bestFit="1" customWidth="1"/>
    <col min="607" max="607" width="14.26953125" bestFit="1" customWidth="1"/>
    <col min="608" max="608" width="13.7265625" bestFit="1" customWidth="1"/>
    <col min="609" max="609" width="12.7265625" bestFit="1" customWidth="1"/>
    <col min="610" max="610" width="12.6328125" bestFit="1" customWidth="1"/>
    <col min="611" max="611" width="12" bestFit="1" customWidth="1"/>
    <col min="612" max="612" width="12.1796875" bestFit="1" customWidth="1"/>
    <col min="613" max="613" width="14.81640625" bestFit="1" customWidth="1"/>
    <col min="614" max="614" width="11.26953125" bestFit="1" customWidth="1"/>
    <col min="615" max="615" width="13" bestFit="1" customWidth="1"/>
    <col min="616" max="616" width="10.6328125" bestFit="1" customWidth="1"/>
    <col min="617" max="617" width="12.26953125" bestFit="1" customWidth="1"/>
    <col min="618" max="618" width="10.453125" bestFit="1" customWidth="1"/>
    <col min="619" max="619" width="11.6328125" bestFit="1" customWidth="1"/>
    <col min="620" max="620" width="10.90625" bestFit="1" customWidth="1"/>
    <col min="621" max="621" width="11.36328125" bestFit="1" customWidth="1"/>
    <col min="622" max="622" width="9.7265625" bestFit="1" customWidth="1"/>
    <col min="623" max="623" width="10.81640625" bestFit="1" customWidth="1"/>
    <col min="624" max="624" width="10.7265625" bestFit="1" customWidth="1"/>
    <col min="625" max="625" width="9.453125" bestFit="1" customWidth="1"/>
    <col min="626" max="626" width="13.54296875" bestFit="1" customWidth="1"/>
    <col min="627" max="627" width="9.36328125" bestFit="1" customWidth="1"/>
    <col min="628" max="628" width="11.453125" bestFit="1" customWidth="1"/>
    <col min="629" max="629" width="12" bestFit="1" customWidth="1"/>
    <col min="630" max="630" width="11.453125" bestFit="1" customWidth="1"/>
    <col min="631" max="631" width="13" bestFit="1" customWidth="1"/>
    <col min="632" max="632" width="10.7265625" bestFit="1" customWidth="1"/>
    <col min="633" max="633" width="10.08984375" bestFit="1" customWidth="1"/>
    <col min="634" max="634" width="13" bestFit="1" customWidth="1"/>
    <col min="635" max="635" width="10.7265625" bestFit="1" customWidth="1"/>
    <col min="636" max="636" width="7.453125" bestFit="1" customWidth="1"/>
    <col min="637" max="637" width="9.90625" bestFit="1" customWidth="1"/>
    <col min="638" max="638" width="14.08984375" bestFit="1" customWidth="1"/>
    <col min="639" max="639" width="11.08984375" bestFit="1" customWidth="1"/>
    <col min="640" max="640" width="14.26953125" bestFit="1" customWidth="1"/>
    <col min="641" max="641" width="15" bestFit="1" customWidth="1"/>
    <col min="642" max="642" width="10.08984375" bestFit="1" customWidth="1"/>
    <col min="643" max="644" width="11.453125" bestFit="1" customWidth="1"/>
    <col min="645" max="645" width="10" bestFit="1" customWidth="1"/>
    <col min="646" max="646" width="10.81640625" bestFit="1" customWidth="1"/>
    <col min="647" max="647" width="9" bestFit="1" customWidth="1"/>
    <col min="648" max="648" width="11.81640625" bestFit="1" customWidth="1"/>
    <col min="649" max="649" width="10.26953125" bestFit="1" customWidth="1"/>
    <col min="650" max="650" width="9" bestFit="1" customWidth="1"/>
    <col min="651" max="651" width="10.36328125" bestFit="1" customWidth="1"/>
    <col min="652" max="652" width="10.54296875" bestFit="1" customWidth="1"/>
    <col min="653" max="653" width="13.6328125" bestFit="1" customWidth="1"/>
    <col min="654" max="654" width="10.36328125" bestFit="1" customWidth="1"/>
    <col min="655" max="655" width="9.90625" bestFit="1" customWidth="1"/>
    <col min="656" max="656" width="12.81640625" bestFit="1" customWidth="1"/>
    <col min="657" max="657" width="9.36328125" bestFit="1" customWidth="1"/>
    <col min="658" max="658" width="13.1796875" bestFit="1" customWidth="1"/>
    <col min="659" max="659" width="10.36328125" bestFit="1" customWidth="1"/>
    <col min="660" max="660" width="8.26953125" bestFit="1" customWidth="1"/>
    <col min="661" max="661" width="11.26953125" bestFit="1" customWidth="1"/>
    <col min="662" max="662" width="10.54296875" bestFit="1" customWidth="1"/>
    <col min="663" max="663" width="16.54296875" bestFit="1" customWidth="1"/>
    <col min="664" max="664" width="12.6328125" bestFit="1" customWidth="1"/>
    <col min="665" max="665" width="12.7265625" bestFit="1" customWidth="1"/>
    <col min="666" max="667" width="12.1796875" bestFit="1" customWidth="1"/>
    <col min="668" max="668" width="11.7265625" bestFit="1" customWidth="1"/>
    <col min="669" max="669" width="12.1796875" bestFit="1" customWidth="1"/>
    <col min="670" max="670" width="13.1796875" bestFit="1" customWidth="1"/>
    <col min="671" max="671" width="11.36328125" bestFit="1" customWidth="1"/>
    <col min="672" max="672" width="10" bestFit="1" customWidth="1"/>
    <col min="673" max="673" width="10.453125" bestFit="1" customWidth="1"/>
    <col min="674" max="674" width="10.7265625" bestFit="1" customWidth="1"/>
    <col min="675" max="675" width="10.90625" bestFit="1" customWidth="1"/>
    <col min="676" max="676" width="11.90625" bestFit="1" customWidth="1"/>
    <col min="677" max="677" width="10.08984375" bestFit="1" customWidth="1"/>
    <col min="678" max="678" width="11.453125" bestFit="1" customWidth="1"/>
    <col min="679" max="679" width="12.453125" bestFit="1" customWidth="1"/>
    <col min="680" max="680" width="13.54296875" bestFit="1" customWidth="1"/>
    <col min="681" max="681" width="9.1796875" bestFit="1" customWidth="1"/>
    <col min="682" max="682" width="12.1796875" bestFit="1" customWidth="1"/>
    <col min="683" max="683" width="9" bestFit="1" customWidth="1"/>
    <col min="684" max="684" width="11.81640625" bestFit="1" customWidth="1"/>
    <col min="685" max="685" width="8.453125" bestFit="1" customWidth="1"/>
    <col min="686" max="686" width="10.90625" bestFit="1" customWidth="1"/>
    <col min="687" max="687" width="11" bestFit="1" customWidth="1"/>
    <col min="688" max="688" width="11.90625" bestFit="1" customWidth="1"/>
    <col min="689" max="689" width="7.6328125" bestFit="1" customWidth="1"/>
    <col min="690" max="690" width="10.90625" bestFit="1" customWidth="1"/>
    <col min="691" max="691" width="10.26953125" bestFit="1" customWidth="1"/>
    <col min="692" max="692" width="7.81640625" bestFit="1" customWidth="1"/>
    <col min="693" max="693" width="11.90625" bestFit="1" customWidth="1"/>
    <col min="694" max="694" width="13" bestFit="1" customWidth="1"/>
    <col min="695" max="695" width="10.453125" bestFit="1" customWidth="1"/>
    <col min="696" max="696" width="13" bestFit="1" customWidth="1"/>
    <col min="697" max="697" width="11" bestFit="1" customWidth="1"/>
    <col min="698" max="698" width="12.36328125" bestFit="1" customWidth="1"/>
    <col min="699" max="699" width="12.6328125" bestFit="1" customWidth="1"/>
    <col min="700" max="700" width="10.54296875" bestFit="1" customWidth="1"/>
    <col min="701" max="701" width="8.81640625" bestFit="1" customWidth="1"/>
    <col min="702" max="702" width="11" bestFit="1" customWidth="1"/>
    <col min="703" max="703" width="8.81640625" bestFit="1" customWidth="1"/>
    <col min="704" max="704" width="14.90625" bestFit="1" customWidth="1"/>
    <col min="705" max="705" width="13.90625" bestFit="1" customWidth="1"/>
    <col min="706" max="706" width="16.7265625" bestFit="1" customWidth="1"/>
    <col min="707" max="708" width="14.6328125" bestFit="1" customWidth="1"/>
    <col min="709" max="709" width="12.81640625" bestFit="1" customWidth="1"/>
    <col min="710" max="710" width="15.26953125" bestFit="1" customWidth="1"/>
    <col min="711" max="711" width="15.7265625" bestFit="1" customWidth="1"/>
    <col min="712" max="712" width="12.90625" bestFit="1" customWidth="1"/>
    <col min="713" max="713" width="14.26953125" bestFit="1" customWidth="1"/>
    <col min="714" max="714" width="12.90625" bestFit="1" customWidth="1"/>
    <col min="715" max="715" width="11.54296875" bestFit="1" customWidth="1"/>
    <col min="716" max="716" width="14.54296875" bestFit="1" customWidth="1"/>
    <col min="717" max="717" width="14.1796875" bestFit="1" customWidth="1"/>
    <col min="718" max="718" width="9.90625" bestFit="1" customWidth="1"/>
    <col min="719" max="719" width="14.36328125" bestFit="1" customWidth="1"/>
    <col min="720" max="720" width="9.90625" bestFit="1" customWidth="1"/>
    <col min="721" max="721" width="11.453125" bestFit="1" customWidth="1"/>
    <col min="722" max="722" width="8.453125" bestFit="1" customWidth="1"/>
    <col min="723" max="723" width="10.54296875" bestFit="1" customWidth="1"/>
    <col min="724" max="724" width="9.26953125" bestFit="1" customWidth="1"/>
    <col min="725" max="725" width="11.90625" bestFit="1" customWidth="1"/>
    <col min="726" max="726" width="10.1796875" bestFit="1" customWidth="1"/>
    <col min="727" max="727" width="10.26953125" bestFit="1" customWidth="1"/>
    <col min="728" max="728" width="13.7265625" bestFit="1" customWidth="1"/>
    <col min="729" max="729" width="13.6328125" bestFit="1" customWidth="1"/>
    <col min="730" max="730" width="11.1796875" bestFit="1" customWidth="1"/>
    <col min="731" max="731" width="10.08984375" bestFit="1" customWidth="1"/>
    <col min="732" max="732" width="11.81640625" bestFit="1" customWidth="1"/>
    <col min="733" max="733" width="9.90625" bestFit="1" customWidth="1"/>
    <col min="734" max="734" width="13.6328125" bestFit="1" customWidth="1"/>
    <col min="735" max="735" width="9.1796875" bestFit="1" customWidth="1"/>
    <col min="736" max="736" width="14.08984375" bestFit="1" customWidth="1"/>
    <col min="737" max="737" width="13.36328125" bestFit="1" customWidth="1"/>
    <col min="738" max="738" width="14.26953125" bestFit="1" customWidth="1"/>
    <col min="739" max="739" width="15.7265625" bestFit="1" customWidth="1"/>
    <col min="740" max="740" width="12" bestFit="1" customWidth="1"/>
    <col min="741" max="741" width="16.1796875" bestFit="1" customWidth="1"/>
    <col min="742" max="742" width="14.08984375" bestFit="1" customWidth="1"/>
    <col min="743" max="743" width="10.36328125" bestFit="1" customWidth="1"/>
    <col min="744" max="744" width="15.453125" bestFit="1" customWidth="1"/>
    <col min="745" max="745" width="14.6328125" bestFit="1" customWidth="1"/>
    <col min="746" max="746" width="10.1796875" bestFit="1" customWidth="1"/>
    <col min="747" max="747" width="9.1796875" bestFit="1" customWidth="1"/>
    <col min="748" max="748" width="11.453125" bestFit="1" customWidth="1"/>
    <col min="749" max="749" width="13.90625" bestFit="1" customWidth="1"/>
    <col min="750" max="750" width="12.36328125" bestFit="1" customWidth="1"/>
    <col min="751" max="751" width="10.08984375" bestFit="1" customWidth="1"/>
    <col min="752" max="752" width="13.1796875" bestFit="1" customWidth="1"/>
    <col min="753" max="753" width="9.7265625" bestFit="1" customWidth="1"/>
    <col min="754" max="754" width="10.90625" bestFit="1" customWidth="1"/>
    <col min="755" max="755" width="8" bestFit="1" customWidth="1"/>
    <col min="756" max="756" width="7.453125" bestFit="1" customWidth="1"/>
    <col min="757" max="757" width="9.54296875" bestFit="1" customWidth="1"/>
    <col min="758" max="758" width="9.36328125" bestFit="1" customWidth="1"/>
    <col min="759" max="759" width="10.26953125" bestFit="1" customWidth="1"/>
    <col min="760" max="760" width="10.08984375" bestFit="1" customWidth="1"/>
    <col min="761" max="761" width="9.1796875" bestFit="1" customWidth="1"/>
    <col min="762" max="762" width="11.453125" bestFit="1" customWidth="1"/>
    <col min="763" max="763" width="8.81640625" bestFit="1" customWidth="1"/>
    <col min="764" max="764" width="11.90625" bestFit="1" customWidth="1"/>
    <col min="765" max="765" width="9.1796875" bestFit="1" customWidth="1"/>
    <col min="766" max="766" width="10.08984375" bestFit="1" customWidth="1"/>
    <col min="767" max="767" width="10.54296875" bestFit="1" customWidth="1"/>
    <col min="768" max="768" width="9" bestFit="1" customWidth="1"/>
    <col min="769" max="769" width="11.453125" bestFit="1" customWidth="1"/>
    <col min="770" max="770" width="11.6328125" bestFit="1" customWidth="1"/>
    <col min="771" max="771" width="9.90625" bestFit="1" customWidth="1"/>
    <col min="772" max="772" width="10" bestFit="1" customWidth="1"/>
    <col min="773" max="773" width="14.1796875" bestFit="1" customWidth="1"/>
    <col min="774" max="774" width="17" bestFit="1" customWidth="1"/>
    <col min="775" max="775" width="8.26953125" bestFit="1" customWidth="1"/>
    <col min="776" max="776" width="10.90625" bestFit="1" customWidth="1"/>
    <col min="777" max="777" width="10.7265625" bestFit="1" customWidth="1"/>
    <col min="778" max="778" width="13" bestFit="1" customWidth="1"/>
    <col min="779" max="779" width="13.1796875" bestFit="1" customWidth="1"/>
    <col min="780" max="780" width="12.90625" bestFit="1" customWidth="1"/>
    <col min="781" max="781" width="9.453125" bestFit="1" customWidth="1"/>
    <col min="782" max="782" width="12.453125" bestFit="1" customWidth="1"/>
    <col min="783" max="783" width="13" bestFit="1" customWidth="1"/>
    <col min="784" max="784" width="11.7265625" bestFit="1" customWidth="1"/>
    <col min="785" max="785" width="10.36328125" bestFit="1" customWidth="1"/>
    <col min="786" max="786" width="10.26953125" bestFit="1" customWidth="1"/>
    <col min="787" max="787" width="14.26953125" bestFit="1" customWidth="1"/>
    <col min="788" max="788" width="12.36328125" bestFit="1" customWidth="1"/>
    <col min="789" max="789" width="12.26953125" bestFit="1" customWidth="1"/>
    <col min="790" max="790" width="10.54296875" bestFit="1" customWidth="1"/>
    <col min="791" max="791" width="10.7265625" bestFit="1" customWidth="1"/>
    <col min="792" max="792" width="12.6328125" bestFit="1" customWidth="1"/>
    <col min="793" max="793" width="12.1796875" bestFit="1" customWidth="1"/>
    <col min="794" max="794" width="11.6328125" bestFit="1" customWidth="1"/>
    <col min="795" max="795" width="12.36328125" bestFit="1" customWidth="1"/>
    <col min="796" max="796" width="14.1796875" bestFit="1" customWidth="1"/>
    <col min="797" max="797" width="13.54296875" bestFit="1" customWidth="1"/>
    <col min="798" max="798" width="12.26953125" bestFit="1" customWidth="1"/>
    <col min="799" max="799" width="13.26953125" bestFit="1" customWidth="1"/>
    <col min="800" max="800" width="10" bestFit="1" customWidth="1"/>
    <col min="801" max="801" width="9.26953125" bestFit="1" customWidth="1"/>
    <col min="802" max="802" width="8.81640625" bestFit="1" customWidth="1"/>
    <col min="803" max="803" width="13.1796875" bestFit="1" customWidth="1"/>
    <col min="804" max="804" width="12" bestFit="1" customWidth="1"/>
    <col min="805" max="805" width="10.36328125" bestFit="1" customWidth="1"/>
    <col min="806" max="806" width="10.81640625" bestFit="1" customWidth="1"/>
    <col min="807" max="807" width="7.26953125" bestFit="1" customWidth="1"/>
    <col min="808" max="808" width="11.08984375" bestFit="1" customWidth="1"/>
    <col min="809" max="809" width="10.6328125" bestFit="1" customWidth="1"/>
    <col min="810" max="810" width="9.1796875" bestFit="1" customWidth="1"/>
    <col min="811" max="811" width="12.54296875" bestFit="1" customWidth="1"/>
    <col min="812" max="812" width="13" bestFit="1" customWidth="1"/>
    <col min="813" max="813" width="12" bestFit="1" customWidth="1"/>
    <col min="814" max="814" width="8.26953125" bestFit="1" customWidth="1"/>
    <col min="816" max="816" width="8" bestFit="1" customWidth="1"/>
    <col min="817" max="817" width="12.6328125" bestFit="1" customWidth="1"/>
    <col min="818" max="818" width="11.08984375" bestFit="1" customWidth="1"/>
    <col min="819" max="819" width="10.26953125" bestFit="1" customWidth="1"/>
    <col min="820" max="820" width="9.81640625" bestFit="1" customWidth="1"/>
    <col min="821" max="821" width="10.90625" bestFit="1" customWidth="1"/>
    <col min="822" max="822" width="9.54296875" bestFit="1" customWidth="1"/>
    <col min="823" max="823" width="9.6328125" bestFit="1" customWidth="1"/>
    <col min="824" max="824" width="12.54296875" bestFit="1" customWidth="1"/>
    <col min="825" max="825" width="12.90625" bestFit="1" customWidth="1"/>
    <col min="826" max="826" width="10.26953125" bestFit="1" customWidth="1"/>
    <col min="827" max="827" width="13" bestFit="1" customWidth="1"/>
    <col min="828" max="828" width="11.08984375" bestFit="1" customWidth="1"/>
    <col min="829" max="829" width="13.7265625" bestFit="1" customWidth="1"/>
    <col min="830" max="830" width="11.36328125" bestFit="1" customWidth="1"/>
    <col min="831" max="831" width="11.08984375" bestFit="1" customWidth="1"/>
    <col min="832" max="832" width="10.81640625" bestFit="1" customWidth="1"/>
    <col min="833" max="833" width="11.90625" bestFit="1" customWidth="1"/>
    <col min="834" max="834" width="14.453125" bestFit="1" customWidth="1"/>
    <col min="835" max="835" width="11" bestFit="1" customWidth="1"/>
    <col min="836" max="836" width="13" bestFit="1" customWidth="1"/>
    <col min="837" max="837" width="16.7265625" bestFit="1" customWidth="1"/>
    <col min="838" max="838" width="13.1796875" bestFit="1" customWidth="1"/>
    <col min="839" max="839" width="16.7265625" bestFit="1" customWidth="1"/>
    <col min="840" max="840" width="14.6328125" bestFit="1" customWidth="1"/>
    <col min="841" max="841" width="17.08984375" bestFit="1" customWidth="1"/>
    <col min="842" max="842" width="16.1796875" bestFit="1" customWidth="1"/>
    <col min="843" max="843" width="14.90625" bestFit="1" customWidth="1"/>
    <col min="844" max="844" width="17.54296875" bestFit="1" customWidth="1"/>
    <col min="845" max="845" width="13" bestFit="1" customWidth="1"/>
    <col min="846" max="846" width="10.90625" bestFit="1" customWidth="1"/>
    <col min="847" max="847" width="12" bestFit="1" customWidth="1"/>
    <col min="848" max="848" width="12.1796875" bestFit="1" customWidth="1"/>
    <col min="849" max="849" width="12.54296875" bestFit="1" customWidth="1"/>
    <col min="850" max="850" width="13" bestFit="1" customWidth="1"/>
    <col min="851" max="851" width="14.26953125" bestFit="1" customWidth="1"/>
    <col min="852" max="852" width="13.26953125" bestFit="1" customWidth="1"/>
    <col min="853" max="853" width="10.90625" bestFit="1" customWidth="1"/>
    <col min="854" max="854" width="10.36328125" bestFit="1" customWidth="1"/>
    <col min="855" max="855" width="14" bestFit="1" customWidth="1"/>
    <col min="856" max="856" width="11.26953125" bestFit="1" customWidth="1"/>
    <col min="857" max="857" width="15" bestFit="1" customWidth="1"/>
    <col min="858" max="858" width="8.81640625" bestFit="1" customWidth="1"/>
    <col min="859" max="859" width="10.7265625" bestFit="1" customWidth="1"/>
    <col min="860" max="860" width="11.08984375" bestFit="1" customWidth="1"/>
    <col min="861" max="861" width="13.1796875" bestFit="1" customWidth="1"/>
    <col min="862" max="862" width="12.26953125" bestFit="1" customWidth="1"/>
    <col min="863" max="863" width="9.90625" bestFit="1" customWidth="1"/>
    <col min="864" max="864" width="10.6328125" bestFit="1" customWidth="1"/>
    <col min="865" max="865" width="11.36328125" bestFit="1" customWidth="1"/>
    <col min="866" max="866" width="12.6328125" bestFit="1" customWidth="1"/>
    <col min="867" max="867" width="10.90625" bestFit="1" customWidth="1"/>
    <col min="868" max="868" width="12" bestFit="1" customWidth="1"/>
    <col min="869" max="869" width="9.7265625" bestFit="1" customWidth="1"/>
    <col min="870" max="870" width="15.36328125" bestFit="1" customWidth="1"/>
    <col min="871" max="871" width="13.1796875" bestFit="1" customWidth="1"/>
    <col min="872" max="872" width="14.26953125" bestFit="1" customWidth="1"/>
    <col min="873" max="873" width="14.08984375" bestFit="1" customWidth="1"/>
    <col min="874" max="874" width="12.7265625" bestFit="1" customWidth="1"/>
    <col min="875" max="875" width="11" bestFit="1" customWidth="1"/>
    <col min="876" max="876" width="12.08984375" bestFit="1" customWidth="1"/>
    <col min="877" max="877" width="10.7265625" bestFit="1" customWidth="1"/>
    <col min="878" max="878" width="14.81640625" bestFit="1" customWidth="1"/>
    <col min="879" max="879" width="13.08984375" bestFit="1" customWidth="1"/>
    <col min="880" max="881" width="11.1796875" bestFit="1" customWidth="1"/>
    <col min="882" max="882" width="9.1796875" bestFit="1" customWidth="1"/>
    <col min="883" max="883" width="11.81640625" bestFit="1" customWidth="1"/>
    <col min="884" max="884" width="8.54296875" bestFit="1" customWidth="1"/>
    <col min="885" max="885" width="15.6328125" bestFit="1" customWidth="1"/>
    <col min="886" max="886" width="7.6328125" bestFit="1" customWidth="1"/>
    <col min="887" max="887" width="11.6328125" bestFit="1" customWidth="1"/>
    <col min="888" max="888" width="7.26953125" bestFit="1" customWidth="1"/>
    <col min="889" max="889" width="8.6328125" bestFit="1" customWidth="1"/>
    <col min="890" max="890" width="9.90625" bestFit="1" customWidth="1"/>
    <col min="891" max="891" width="8.08984375" bestFit="1" customWidth="1"/>
    <col min="892" max="892" width="8.81640625" bestFit="1" customWidth="1"/>
    <col min="893" max="893" width="14.08984375" bestFit="1" customWidth="1"/>
    <col min="894" max="894" width="15.90625" bestFit="1" customWidth="1"/>
    <col min="895" max="895" width="15.54296875" bestFit="1" customWidth="1"/>
    <col min="896" max="896" width="15.6328125" bestFit="1" customWidth="1"/>
    <col min="897" max="897" width="15.54296875" bestFit="1" customWidth="1"/>
    <col min="898" max="898" width="15.7265625" bestFit="1" customWidth="1"/>
    <col min="899" max="899" width="15.08984375" bestFit="1" customWidth="1"/>
    <col min="900" max="901" width="15.453125" bestFit="1" customWidth="1"/>
    <col min="902" max="902" width="15.7265625" bestFit="1" customWidth="1"/>
    <col min="903" max="903" width="12.36328125" bestFit="1" customWidth="1"/>
    <col min="904" max="904" width="14.26953125" bestFit="1" customWidth="1"/>
    <col min="905" max="905" width="11.36328125" bestFit="1" customWidth="1"/>
    <col min="906" max="906" width="11.453125" bestFit="1" customWidth="1"/>
    <col min="907" max="907" width="15.453125" bestFit="1" customWidth="1"/>
    <col min="908" max="908" width="17.26953125" bestFit="1" customWidth="1"/>
    <col min="909" max="909" width="13.54296875" bestFit="1" customWidth="1"/>
    <col min="910" max="910" width="14.54296875" bestFit="1" customWidth="1"/>
    <col min="911" max="911" width="10.54296875" bestFit="1" customWidth="1"/>
    <col min="912" max="912" width="12.08984375" bestFit="1" customWidth="1"/>
    <col min="913" max="913" width="11.453125" bestFit="1" customWidth="1"/>
    <col min="914" max="914" width="11.6328125" bestFit="1" customWidth="1"/>
    <col min="915" max="915" width="13.26953125" bestFit="1" customWidth="1"/>
    <col min="916" max="916" width="13.90625" bestFit="1" customWidth="1"/>
    <col min="917" max="917" width="14.90625" bestFit="1" customWidth="1"/>
    <col min="918" max="918" width="10.54296875" bestFit="1" customWidth="1"/>
    <col min="919" max="919" width="13.90625" bestFit="1" customWidth="1"/>
    <col min="920" max="920" width="13.26953125" bestFit="1" customWidth="1"/>
    <col min="921" max="921" width="16" bestFit="1" customWidth="1"/>
    <col min="922" max="922" width="13.453125" bestFit="1" customWidth="1"/>
    <col min="923" max="923" width="14.6328125" bestFit="1" customWidth="1"/>
    <col min="924" max="924" width="11.1796875" bestFit="1" customWidth="1"/>
    <col min="925" max="925" width="15.08984375" bestFit="1" customWidth="1"/>
    <col min="926" max="926" width="13.1796875" bestFit="1" customWidth="1"/>
    <col min="927" max="927" width="10.81640625" bestFit="1" customWidth="1"/>
    <col min="928" max="928" width="11.26953125" bestFit="1" customWidth="1"/>
    <col min="929" max="929" width="10.26953125" bestFit="1" customWidth="1"/>
    <col min="930" max="930" width="10.81640625" bestFit="1" customWidth="1"/>
    <col min="931" max="931" width="10.08984375" bestFit="1" customWidth="1"/>
    <col min="932" max="932" width="10.81640625" bestFit="1" customWidth="1"/>
    <col min="933" max="933" width="9.36328125" bestFit="1" customWidth="1"/>
    <col min="934" max="934" width="12.26953125" bestFit="1" customWidth="1"/>
    <col min="935" max="935" width="10.7265625" bestFit="1" customWidth="1"/>
    <col min="936" max="936" width="11.08984375" bestFit="1" customWidth="1"/>
    <col min="937" max="937" width="8.6328125" bestFit="1" customWidth="1"/>
    <col min="938" max="938" width="10.36328125" bestFit="1" customWidth="1"/>
    <col min="939" max="939" width="12.90625" bestFit="1" customWidth="1"/>
    <col min="940" max="940" width="10.54296875" bestFit="1" customWidth="1"/>
    <col min="941" max="941" width="9.26953125" bestFit="1" customWidth="1"/>
    <col min="942" max="942" width="14.1796875" bestFit="1" customWidth="1"/>
    <col min="943" max="943" width="10.90625" bestFit="1" customWidth="1"/>
    <col min="944" max="944" width="9.7265625" bestFit="1" customWidth="1"/>
    <col min="945" max="945" width="7.6328125" bestFit="1" customWidth="1"/>
    <col min="946" max="946" width="9.6328125" bestFit="1" customWidth="1"/>
    <col min="947" max="947" width="13" bestFit="1" customWidth="1"/>
    <col min="948" max="948" width="12.36328125" bestFit="1" customWidth="1"/>
    <col min="949" max="950" width="9.36328125" bestFit="1" customWidth="1"/>
    <col min="951" max="951" width="12.6328125" bestFit="1" customWidth="1"/>
    <col min="952" max="952" width="10.7265625" bestFit="1" customWidth="1"/>
    <col min="953" max="953" width="11.08984375" bestFit="1" customWidth="1"/>
    <col min="954" max="954" width="14.6328125" bestFit="1" customWidth="1"/>
    <col min="955" max="955" width="8.26953125" bestFit="1" customWidth="1"/>
    <col min="956" max="956" width="8.81640625" bestFit="1" customWidth="1"/>
    <col min="957" max="957" width="13.36328125" bestFit="1" customWidth="1"/>
    <col min="958" max="958" width="17" bestFit="1" customWidth="1"/>
    <col min="959" max="959" width="12.6328125" bestFit="1" customWidth="1"/>
    <col min="960" max="960" width="10.90625" bestFit="1" customWidth="1"/>
    <col min="961" max="961" width="13.81640625" bestFit="1" customWidth="1"/>
    <col min="962" max="962" width="13.1796875" bestFit="1" customWidth="1"/>
    <col min="963" max="963" width="11.6328125" bestFit="1" customWidth="1"/>
    <col min="964" max="964" width="13.54296875" bestFit="1" customWidth="1"/>
    <col min="965" max="965" width="15" bestFit="1" customWidth="1"/>
    <col min="966" max="966" width="15.08984375" bestFit="1" customWidth="1"/>
    <col min="967" max="967" width="13.81640625" bestFit="1" customWidth="1"/>
    <col min="968" max="968" width="14.26953125" bestFit="1" customWidth="1"/>
    <col min="969" max="969" width="14.81640625" bestFit="1" customWidth="1"/>
    <col min="970" max="970" width="11.6328125" bestFit="1" customWidth="1"/>
    <col min="971" max="971" width="9.7265625" bestFit="1" customWidth="1"/>
    <col min="972" max="972" width="12.08984375" bestFit="1" customWidth="1"/>
    <col min="973" max="973" width="9.7265625" bestFit="1" customWidth="1"/>
    <col min="974" max="974" width="13.81640625" bestFit="1" customWidth="1"/>
    <col min="975" max="975" width="13.36328125" bestFit="1" customWidth="1"/>
    <col min="976" max="976" width="12.36328125" bestFit="1" customWidth="1"/>
    <col min="977" max="977" width="11.08984375" bestFit="1" customWidth="1"/>
    <col min="978" max="978" width="10.54296875" bestFit="1" customWidth="1"/>
    <col min="979" max="979" width="13.08984375" bestFit="1" customWidth="1"/>
    <col min="980" max="980" width="11.7265625" bestFit="1" customWidth="1"/>
    <col min="981" max="981" width="16.7265625" bestFit="1" customWidth="1"/>
    <col min="982" max="982" width="11.1796875" bestFit="1" customWidth="1"/>
    <col min="983" max="983" width="10.90625" bestFit="1" customWidth="1"/>
    <col min="984" max="984" width="13.7265625" bestFit="1" customWidth="1"/>
    <col min="985" max="985" width="12.54296875" bestFit="1" customWidth="1"/>
    <col min="986" max="986" width="10.7265625" bestFit="1" customWidth="1"/>
    <col min="987" max="987" width="12.90625" bestFit="1" customWidth="1"/>
    <col min="988" max="988" width="13.90625" bestFit="1" customWidth="1"/>
    <col min="989" max="989" width="10.08984375" bestFit="1" customWidth="1"/>
    <col min="990" max="990" width="13.6328125" bestFit="1" customWidth="1"/>
    <col min="991" max="991" width="14.1796875" bestFit="1" customWidth="1"/>
    <col min="992" max="992" width="11.453125" bestFit="1" customWidth="1"/>
    <col min="993" max="993" width="10.36328125" bestFit="1" customWidth="1"/>
    <col min="994" max="994" width="13" bestFit="1" customWidth="1"/>
    <col min="995" max="995" width="10.1796875" bestFit="1" customWidth="1"/>
    <col min="996" max="996" width="7.81640625" bestFit="1" customWidth="1"/>
    <col min="997" max="997" width="11" bestFit="1" customWidth="1"/>
    <col min="998" max="998" width="10.90625" bestFit="1" customWidth="1"/>
    <col min="999" max="999" width="13" bestFit="1" customWidth="1"/>
    <col min="1000" max="1000" width="10.26953125" bestFit="1" customWidth="1"/>
    <col min="1001" max="1001" width="11.08984375" bestFit="1" customWidth="1"/>
    <col min="1002" max="1002" width="11.54296875" bestFit="1" customWidth="1"/>
    <col min="1003" max="1003" width="6.7265625" bestFit="1" customWidth="1"/>
    <col min="1004" max="1004" width="12.6328125" bestFit="1" customWidth="1"/>
    <col min="1005" max="1005" width="11" bestFit="1" customWidth="1"/>
    <col min="1006" max="1006" width="11.08984375" bestFit="1" customWidth="1"/>
    <col min="1007" max="1007" width="8.6328125" bestFit="1" customWidth="1"/>
    <col min="1008" max="1008" width="11.7265625" bestFit="1" customWidth="1"/>
    <col min="1009" max="1009" width="11.1796875" bestFit="1" customWidth="1"/>
  </cols>
  <sheetData>
    <row r="3" spans="1:34" ht="18.5" customHeight="1" x14ac:dyDescent="0.35">
      <c r="A3" s="8" t="s">
        <v>1983</v>
      </c>
      <c r="B3" s="9" t="s">
        <v>1985</v>
      </c>
      <c r="D3" s="8" t="s">
        <v>1983</v>
      </c>
      <c r="E3" t="s">
        <v>1985</v>
      </c>
      <c r="G3" s="8" t="s">
        <v>1983</v>
      </c>
      <c r="H3" t="s">
        <v>1986</v>
      </c>
      <c r="J3" s="8" t="s">
        <v>1983</v>
      </c>
      <c r="K3" t="s">
        <v>1986</v>
      </c>
      <c r="M3" s="8" t="s">
        <v>1983</v>
      </c>
      <c r="N3" t="s">
        <v>1985</v>
      </c>
      <c r="Q3" t="s">
        <v>1987</v>
      </c>
      <c r="S3" s="8" t="s">
        <v>1983</v>
      </c>
      <c r="T3" t="s">
        <v>1987</v>
      </c>
      <c r="V3" s="8" t="s">
        <v>1983</v>
      </c>
      <c r="W3" t="s">
        <v>1986</v>
      </c>
      <c r="Y3" s="8" t="s">
        <v>1983</v>
      </c>
      <c r="Z3" t="s">
        <v>1996</v>
      </c>
      <c r="AB3" s="8" t="s">
        <v>1983</v>
      </c>
      <c r="AC3" t="s">
        <v>1986</v>
      </c>
      <c r="AH3" s="7" t="s">
        <v>65</v>
      </c>
    </row>
    <row r="4" spans="1:34" x14ac:dyDescent="0.35">
      <c r="A4" s="7" t="s">
        <v>94</v>
      </c>
      <c r="B4" s="10">
        <v>1307914</v>
      </c>
      <c r="D4" s="7" t="s">
        <v>52</v>
      </c>
      <c r="E4" s="30">
        <v>15613152</v>
      </c>
      <c r="G4" s="7" t="s">
        <v>24</v>
      </c>
      <c r="H4" s="30">
        <v>48</v>
      </c>
      <c r="J4" s="7" t="s">
        <v>17</v>
      </c>
      <c r="K4" s="30">
        <v>71</v>
      </c>
      <c r="M4" s="7" t="s">
        <v>65</v>
      </c>
      <c r="N4" s="30">
        <v>11822107</v>
      </c>
      <c r="Q4" s="11">
        <v>0.4</v>
      </c>
      <c r="S4" s="7" t="s">
        <v>65</v>
      </c>
      <c r="T4" s="11">
        <v>0.4</v>
      </c>
      <c r="V4" s="7">
        <v>25</v>
      </c>
      <c r="W4" s="30">
        <v>3</v>
      </c>
      <c r="Y4" s="7" t="s">
        <v>65</v>
      </c>
      <c r="Z4" s="19">
        <v>123146.94791666667</v>
      </c>
      <c r="AB4" s="7" t="s">
        <v>1997</v>
      </c>
      <c r="AC4" s="30">
        <v>4</v>
      </c>
      <c r="AH4" s="7" t="s">
        <v>31</v>
      </c>
    </row>
    <row r="5" spans="1:34" x14ac:dyDescent="0.35">
      <c r="A5" s="7" t="s">
        <v>68</v>
      </c>
      <c r="B5" s="10">
        <v>2547484</v>
      </c>
      <c r="D5" s="7" t="s">
        <v>33</v>
      </c>
      <c r="E5" s="30">
        <v>24813530</v>
      </c>
      <c r="G5" s="7" t="s">
        <v>47</v>
      </c>
      <c r="H5" s="30">
        <v>5</v>
      </c>
      <c r="J5" s="7" t="s">
        <v>28</v>
      </c>
      <c r="K5" s="30">
        <v>70</v>
      </c>
      <c r="M5" s="7" t="s">
        <v>31</v>
      </c>
      <c r="N5" s="30">
        <v>17227563</v>
      </c>
      <c r="Q5" s="12">
        <f xml:space="preserve"> MAX(TBL_Employees[Bonus %])</f>
        <v>0.4</v>
      </c>
      <c r="S5" s="7" t="s">
        <v>31</v>
      </c>
      <c r="T5" s="11">
        <v>0.4</v>
      </c>
      <c r="V5" s="7">
        <v>27</v>
      </c>
      <c r="W5" s="30">
        <v>6</v>
      </c>
      <c r="Y5" s="7" t="s">
        <v>31</v>
      </c>
      <c r="Z5" s="19">
        <v>109035.20886075949</v>
      </c>
      <c r="AB5" s="7" t="s">
        <v>1998</v>
      </c>
      <c r="AC5" s="30">
        <v>2</v>
      </c>
      <c r="AH5" s="7" t="s">
        <v>15</v>
      </c>
    </row>
    <row r="6" spans="1:34" x14ac:dyDescent="0.35">
      <c r="A6" s="7" t="s">
        <v>64</v>
      </c>
      <c r="B6" s="10">
        <v>3320316</v>
      </c>
      <c r="D6" s="7" t="s">
        <v>19</v>
      </c>
      <c r="E6" s="30">
        <v>72790683</v>
      </c>
      <c r="G6" s="7" t="s">
        <v>18</v>
      </c>
      <c r="H6" s="30">
        <v>40</v>
      </c>
      <c r="J6" s="7" t="s">
        <v>1984</v>
      </c>
      <c r="K6" s="30">
        <v>141</v>
      </c>
      <c r="M6" s="7" t="s">
        <v>15</v>
      </c>
      <c r="N6" s="30">
        <v>14736347</v>
      </c>
      <c r="Q6" t="str">
        <f>INDEX(TBL_Employees[Full Name], MATCH($Q$5,TBL_Employees[Bonus %],0))</f>
        <v>Thomas Padilla</v>
      </c>
      <c r="S6" s="7" t="s">
        <v>15</v>
      </c>
      <c r="T6" s="11">
        <v>0.39</v>
      </c>
      <c r="V6" s="7">
        <v>28</v>
      </c>
      <c r="W6" s="30">
        <v>3</v>
      </c>
      <c r="Y6" s="7" t="s">
        <v>15</v>
      </c>
      <c r="Z6" s="19">
        <v>122802.89166666666</v>
      </c>
      <c r="AB6" s="7" t="s">
        <v>1999</v>
      </c>
      <c r="AC6" s="30">
        <v>3</v>
      </c>
      <c r="AH6" s="7" t="s">
        <v>23</v>
      </c>
    </row>
    <row r="7" spans="1:34" x14ac:dyDescent="0.35">
      <c r="A7" s="7" t="s">
        <v>59</v>
      </c>
      <c r="B7" s="10">
        <v>665748</v>
      </c>
      <c r="D7" s="7" t="s">
        <v>1984</v>
      </c>
      <c r="E7" s="30">
        <v>113217365</v>
      </c>
      <c r="G7" s="7" t="s">
        <v>51</v>
      </c>
      <c r="H7" s="30">
        <v>48</v>
      </c>
      <c r="M7" s="7" t="s">
        <v>23</v>
      </c>
      <c r="N7" s="30">
        <v>14757305</v>
      </c>
      <c r="Q7" t="str">
        <f>INDEX(TBL_Employees[Job Title], MATCH($Q$5,TBL_Employees[Bonus %],0))</f>
        <v>Vice President</v>
      </c>
      <c r="S7" s="7" t="s">
        <v>23</v>
      </c>
      <c r="T7" s="11">
        <v>0.39</v>
      </c>
      <c r="V7" s="7">
        <v>29</v>
      </c>
      <c r="W7" s="30">
        <v>4</v>
      </c>
      <c r="Y7" s="7" t="s">
        <v>23</v>
      </c>
      <c r="Z7" s="19">
        <v>118058.44</v>
      </c>
      <c r="AB7" s="7" t="s">
        <v>2000</v>
      </c>
      <c r="AC7" s="30">
        <v>3</v>
      </c>
      <c r="AH7" s="7" t="s">
        <v>27</v>
      </c>
    </row>
    <row r="8" spans="1:34" x14ac:dyDescent="0.35">
      <c r="A8" s="7" t="s">
        <v>83</v>
      </c>
      <c r="B8" s="10">
        <v>941636</v>
      </c>
      <c r="M8" s="7" t="s">
        <v>27</v>
      </c>
      <c r="N8" s="30">
        <v>23567499</v>
      </c>
      <c r="Q8" t="str">
        <f>INDEX(TBL_Employees[Department], MATCH($Q$5,TBL_Employees[Bonus %],0))</f>
        <v>Marketing</v>
      </c>
      <c r="S8" s="7" t="s">
        <v>27</v>
      </c>
      <c r="T8" s="11">
        <v>0.39</v>
      </c>
      <c r="V8" s="7">
        <v>30</v>
      </c>
      <c r="W8" s="30">
        <v>6</v>
      </c>
      <c r="Y8" s="7" t="s">
        <v>27</v>
      </c>
      <c r="Z8" s="19">
        <v>97790.452282157683</v>
      </c>
      <c r="AB8" s="7" t="s">
        <v>2001</v>
      </c>
      <c r="AC8" s="30">
        <v>1</v>
      </c>
      <c r="AH8" s="7" t="s">
        <v>43</v>
      </c>
    </row>
    <row r="9" spans="1:34" x14ac:dyDescent="0.35">
      <c r="A9" s="7" t="s">
        <v>38</v>
      </c>
      <c r="B9" s="10">
        <v>1304420</v>
      </c>
      <c r="M9" s="7" t="s">
        <v>43</v>
      </c>
      <c r="N9" s="30">
        <v>15559564</v>
      </c>
      <c r="Q9" t="str">
        <f>INDEX(TBL_Employees[Business Unit], MATCH($Q$5,TBL_Employees[Bonus %],0))</f>
        <v>Research &amp; Development</v>
      </c>
      <c r="S9" s="7" t="s">
        <v>43</v>
      </c>
      <c r="T9" s="11">
        <v>0.4</v>
      </c>
      <c r="V9" s="7">
        <v>32</v>
      </c>
      <c r="W9" s="30">
        <v>3</v>
      </c>
      <c r="Y9" s="7" t="s">
        <v>43</v>
      </c>
      <c r="Z9" s="19">
        <v>129663.03333333334</v>
      </c>
      <c r="AB9" s="7" t="s">
        <v>2002</v>
      </c>
      <c r="AC9" s="30">
        <v>3</v>
      </c>
      <c r="AH9" s="7" t="s">
        <v>50</v>
      </c>
    </row>
    <row r="10" spans="1:34" x14ac:dyDescent="0.35">
      <c r="A10" s="7" t="s">
        <v>56</v>
      </c>
      <c r="B10" s="10">
        <v>1687283</v>
      </c>
      <c r="M10" s="7" t="s">
        <v>50</v>
      </c>
      <c r="N10" s="30">
        <v>15546980</v>
      </c>
      <c r="S10" s="7" t="s">
        <v>50</v>
      </c>
      <c r="T10" s="11">
        <v>0.38</v>
      </c>
      <c r="V10" s="7">
        <v>33</v>
      </c>
      <c r="W10" s="30">
        <v>2</v>
      </c>
      <c r="Y10" s="7" t="s">
        <v>50</v>
      </c>
      <c r="Z10" s="19">
        <v>111049.85714285714</v>
      </c>
      <c r="AB10" s="7" t="s">
        <v>2003</v>
      </c>
      <c r="AC10" s="30">
        <v>3</v>
      </c>
    </row>
    <row r="11" spans="1:34" x14ac:dyDescent="0.35">
      <c r="A11" s="7" t="s">
        <v>84</v>
      </c>
      <c r="B11" s="10">
        <v>1494392</v>
      </c>
      <c r="M11" s="7" t="s">
        <v>1984</v>
      </c>
      <c r="N11" s="30">
        <v>113217365</v>
      </c>
      <c r="S11" s="7" t="s">
        <v>1984</v>
      </c>
      <c r="T11" s="11">
        <v>0.4</v>
      </c>
      <c r="V11" s="7">
        <v>34</v>
      </c>
      <c r="W11" s="30">
        <v>2</v>
      </c>
      <c r="Y11" s="7" t="s">
        <v>1984</v>
      </c>
      <c r="Z11" s="19">
        <v>113217.36500000001</v>
      </c>
      <c r="AB11" s="7" t="s">
        <v>2004</v>
      </c>
      <c r="AC11" s="30">
        <v>3</v>
      </c>
      <c r="AH11" s="7" t="s">
        <v>52</v>
      </c>
    </row>
    <row r="12" spans="1:34" x14ac:dyDescent="0.35">
      <c r="A12" s="7" t="s">
        <v>86</v>
      </c>
      <c r="B12" s="10">
        <v>1479895</v>
      </c>
      <c r="P12" t="s">
        <v>1989</v>
      </c>
      <c r="Q12">
        <f>IF(COUNTIF(TBL_Employees[Bonus %], "0") = 0, NA(), COUNTIF(TBL_Employees[Bonus %], "0"))</f>
        <v>525</v>
      </c>
      <c r="R12" s="14"/>
      <c r="V12" s="7">
        <v>35</v>
      </c>
      <c r="W12" s="30">
        <v>3</v>
      </c>
      <c r="AB12" s="7" t="s">
        <v>2005</v>
      </c>
      <c r="AC12" s="30">
        <v>3</v>
      </c>
      <c r="AH12" s="7" t="s">
        <v>33</v>
      </c>
    </row>
    <row r="13" spans="1:34" x14ac:dyDescent="0.35">
      <c r="A13" s="7" t="s">
        <v>40</v>
      </c>
      <c r="B13" s="10">
        <v>20767696</v>
      </c>
      <c r="N13" s="19" t="str">
        <f>ROUND(GETPIVOTDATA("[Measures].[Сумма по столбцу Annual Salary]",$M$3)/1000000, 1) &amp;" M"</f>
        <v>113,2 M</v>
      </c>
      <c r="P13" t="s">
        <v>1990</v>
      </c>
      <c r="Q13" s="13">
        <f>IF(COUNTIF(TBL_Employees[Bonus %], "&lt;=0,1") - Q12 = 0, NA(), COUNTIF(TBL_Employees[Bonus %], "&lt;=0,1") - Q12)</f>
        <v>138</v>
      </c>
      <c r="T13" s="11">
        <f>GETPIVOTDATA("[Measures].[Максимум в столбце Bonus %]",$S$3)</f>
        <v>0.4</v>
      </c>
      <c r="V13" s="7">
        <v>36</v>
      </c>
      <c r="W13" s="30">
        <v>4</v>
      </c>
      <c r="Z13" t="str">
        <f>ROUND(GETPIVOTDATA("[Measures].[Среднее по столбцу Annual Salary]",$Y$3)/1000, 1) &amp;" K"</f>
        <v>113,2 K</v>
      </c>
      <c r="AB13" s="7" t="s">
        <v>2006</v>
      </c>
      <c r="AC13" s="30">
        <v>1</v>
      </c>
      <c r="AH13" s="7" t="s">
        <v>19</v>
      </c>
    </row>
    <row r="14" spans="1:34" x14ac:dyDescent="0.35">
      <c r="A14" s="7" t="s">
        <v>97</v>
      </c>
      <c r="B14" s="10">
        <v>2037076</v>
      </c>
      <c r="P14" t="s">
        <v>1991</v>
      </c>
      <c r="Q14" s="13">
        <f>IF(COUNTIF(TBL_Employees[Bonus %], "&lt;=0,2") - Q12 - Q13 = 0, NA(), COUNTIF(TBL_Employees[Bonus %], "&lt;=0,2") - Q12 - Q13 )</f>
        <v>153</v>
      </c>
      <c r="T14" s="19"/>
      <c r="V14" s="7">
        <v>37</v>
      </c>
      <c r="W14" s="30">
        <v>5</v>
      </c>
      <c r="AB14" s="7" t="s">
        <v>2007</v>
      </c>
      <c r="AC14" s="30">
        <v>2</v>
      </c>
    </row>
    <row r="15" spans="1:34" x14ac:dyDescent="0.35">
      <c r="A15" s="7" t="s">
        <v>26</v>
      </c>
      <c r="B15" s="10">
        <v>1524576</v>
      </c>
      <c r="P15" t="s">
        <v>1992</v>
      </c>
      <c r="Q15" s="13">
        <f>IF(COUNTIF(TBL_Employees[Bonus %], "&lt;=0,3") - Q12 - Q13 - Q14 = 0, NA(), COUNTIF(TBL_Employees[Bonus %], "&lt;=0,3") - Q12 - Q13 - Q14)</f>
        <v>94</v>
      </c>
      <c r="V15" s="7">
        <v>38</v>
      </c>
      <c r="W15" s="30">
        <v>1</v>
      </c>
      <c r="AB15" s="7" t="s">
        <v>2008</v>
      </c>
      <c r="AC15" s="30">
        <v>6</v>
      </c>
    </row>
    <row r="16" spans="1:34" x14ac:dyDescent="0.35">
      <c r="A16" s="7" t="s">
        <v>129</v>
      </c>
      <c r="B16" s="10">
        <v>1657508</v>
      </c>
      <c r="P16" t="s">
        <v>1993</v>
      </c>
      <c r="Q16">
        <f>IF((COUNTIF(TBL_Employees[Bonus %], "&lt;=0,4") - Q12  - Q13 - Q14 - Q15) = 0, NA(), COUNTIF(TBL_Employees[Bonus %], "&lt;=0,4") - Q12  - Q13 - Q14 - Q15)</f>
        <v>90</v>
      </c>
      <c r="V16" s="7">
        <v>39</v>
      </c>
      <c r="W16" s="30">
        <v>1</v>
      </c>
      <c r="AB16" s="7" t="s">
        <v>2009</v>
      </c>
      <c r="AC16" s="30">
        <v>3</v>
      </c>
    </row>
    <row r="17" spans="1:29" x14ac:dyDescent="0.35">
      <c r="A17" s="7" t="s">
        <v>22</v>
      </c>
      <c r="B17" s="10">
        <v>988166</v>
      </c>
      <c r="P17" t="s">
        <v>1994</v>
      </c>
      <c r="Q17" t="e">
        <f>IF((COUNTIF(TBL_Employees[Bonus %], "&lt;&gt;0") - Q13 - Q14 - Q15 - Q16) = 0, NA(),COUNTIF(TBL_Employees[Bonus %], "&lt;&gt;0") - Q13 - Q14 - Q15 - Q16)</f>
        <v>#N/A</v>
      </c>
      <c r="V17" s="7">
        <v>40</v>
      </c>
      <c r="W17" s="30">
        <v>4</v>
      </c>
      <c r="AB17" s="7" t="s">
        <v>2010</v>
      </c>
      <c r="AC17" s="30">
        <v>2</v>
      </c>
    </row>
    <row r="18" spans="1:29" x14ac:dyDescent="0.35">
      <c r="A18" s="7" t="s">
        <v>73</v>
      </c>
      <c r="B18" s="10">
        <v>528269</v>
      </c>
      <c r="V18" s="7">
        <v>41</v>
      </c>
      <c r="W18" s="30">
        <v>2</v>
      </c>
      <c r="AB18" s="7" t="s">
        <v>2011</v>
      </c>
      <c r="AC18" s="30">
        <v>5</v>
      </c>
    </row>
    <row r="19" spans="1:29" x14ac:dyDescent="0.35">
      <c r="A19" s="7" t="s">
        <v>91</v>
      </c>
      <c r="B19" s="10">
        <v>977962</v>
      </c>
      <c r="V19" s="7">
        <v>42</v>
      </c>
      <c r="W19" s="30">
        <v>3</v>
      </c>
      <c r="AB19" s="7" t="s">
        <v>2012</v>
      </c>
      <c r="AC19" s="30">
        <v>5</v>
      </c>
    </row>
    <row r="20" spans="1:29" x14ac:dyDescent="0.35">
      <c r="A20" s="7" t="s">
        <v>62</v>
      </c>
      <c r="B20" s="10">
        <v>11101017</v>
      </c>
      <c r="V20" s="7">
        <v>43</v>
      </c>
      <c r="W20" s="30">
        <v>1</v>
      </c>
      <c r="AB20" s="7" t="s">
        <v>2013</v>
      </c>
      <c r="AC20" s="30">
        <v>4</v>
      </c>
    </row>
    <row r="21" spans="1:29" x14ac:dyDescent="0.35">
      <c r="A21" s="7" t="s">
        <v>89</v>
      </c>
      <c r="B21" s="10">
        <v>759084</v>
      </c>
      <c r="V21" s="7">
        <v>44</v>
      </c>
      <c r="W21" s="30">
        <v>1</v>
      </c>
      <c r="AB21" s="7" t="s">
        <v>2014</v>
      </c>
      <c r="AC21" s="30">
        <v>4</v>
      </c>
    </row>
    <row r="22" spans="1:29" x14ac:dyDescent="0.35">
      <c r="A22" s="7" t="s">
        <v>71</v>
      </c>
      <c r="B22" s="10">
        <v>1441666</v>
      </c>
      <c r="V22" s="7">
        <v>45</v>
      </c>
      <c r="W22" s="30">
        <v>14</v>
      </c>
      <c r="AB22" s="7" t="s">
        <v>2015</v>
      </c>
      <c r="AC22" s="30">
        <v>8</v>
      </c>
    </row>
    <row r="23" spans="1:29" x14ac:dyDescent="0.35">
      <c r="A23" s="7" t="s">
        <v>35</v>
      </c>
      <c r="B23" s="10">
        <v>519202</v>
      </c>
      <c r="V23" s="7">
        <v>46</v>
      </c>
      <c r="W23" s="30">
        <v>8</v>
      </c>
      <c r="AB23" s="7" t="s">
        <v>2016</v>
      </c>
      <c r="AC23" s="30">
        <v>4</v>
      </c>
    </row>
    <row r="24" spans="1:29" x14ac:dyDescent="0.35">
      <c r="A24" s="7" t="s">
        <v>69</v>
      </c>
      <c r="B24" s="10">
        <v>1213623</v>
      </c>
      <c r="V24" s="7">
        <v>47</v>
      </c>
      <c r="W24" s="30">
        <v>5</v>
      </c>
      <c r="AB24" s="7" t="s">
        <v>2017</v>
      </c>
      <c r="AC24" s="30">
        <v>7</v>
      </c>
    </row>
    <row r="25" spans="1:29" x14ac:dyDescent="0.35">
      <c r="A25" s="7" t="s">
        <v>30</v>
      </c>
      <c r="B25" s="10">
        <v>1671288</v>
      </c>
      <c r="V25" s="7">
        <v>48</v>
      </c>
      <c r="W25" s="30">
        <v>3</v>
      </c>
      <c r="AB25" s="7" t="s">
        <v>2018</v>
      </c>
      <c r="AC25" s="30">
        <v>7</v>
      </c>
    </row>
    <row r="26" spans="1:29" x14ac:dyDescent="0.35">
      <c r="A26" s="7" t="s">
        <v>82</v>
      </c>
      <c r="B26" s="10">
        <v>823292</v>
      </c>
      <c r="V26" s="7">
        <v>49</v>
      </c>
      <c r="W26" s="30">
        <v>1</v>
      </c>
      <c r="AB26" s="7" t="s">
        <v>2019</v>
      </c>
      <c r="AC26" s="30">
        <v>6</v>
      </c>
    </row>
    <row r="27" spans="1:29" x14ac:dyDescent="0.35">
      <c r="A27" s="7" t="s">
        <v>88</v>
      </c>
      <c r="B27" s="10">
        <v>1172449</v>
      </c>
      <c r="V27" s="7">
        <v>50</v>
      </c>
      <c r="W27" s="30">
        <v>3</v>
      </c>
      <c r="AB27" s="7" t="s">
        <v>2020</v>
      </c>
      <c r="AC27" s="30">
        <v>10</v>
      </c>
    </row>
    <row r="28" spans="1:29" x14ac:dyDescent="0.35">
      <c r="A28" s="7" t="s">
        <v>49</v>
      </c>
      <c r="B28" s="10">
        <v>763274</v>
      </c>
      <c r="V28" s="7">
        <v>51</v>
      </c>
      <c r="W28" s="30">
        <v>4</v>
      </c>
      <c r="AB28" s="7" t="s">
        <v>2021</v>
      </c>
      <c r="AC28" s="30">
        <v>18</v>
      </c>
    </row>
    <row r="29" spans="1:29" x14ac:dyDescent="0.35">
      <c r="A29" s="7" t="s">
        <v>42</v>
      </c>
      <c r="B29" s="10">
        <v>6048207</v>
      </c>
      <c r="V29" s="7">
        <v>52</v>
      </c>
      <c r="W29" s="30">
        <v>5</v>
      </c>
      <c r="AB29" s="7" t="s">
        <v>2022</v>
      </c>
      <c r="AC29" s="30">
        <v>6</v>
      </c>
    </row>
    <row r="30" spans="1:29" x14ac:dyDescent="0.35">
      <c r="A30" s="7" t="s">
        <v>77</v>
      </c>
      <c r="B30" s="10">
        <v>1445601</v>
      </c>
      <c r="V30" s="7">
        <v>53</v>
      </c>
      <c r="W30" s="30">
        <v>2</v>
      </c>
      <c r="AB30" s="7" t="s">
        <v>2023</v>
      </c>
      <c r="AC30" s="30">
        <v>7</v>
      </c>
    </row>
    <row r="31" spans="1:29" x14ac:dyDescent="0.35">
      <c r="A31" s="7" t="s">
        <v>61</v>
      </c>
      <c r="B31" s="10">
        <v>15517454</v>
      </c>
      <c r="V31" s="7">
        <v>54</v>
      </c>
      <c r="W31" s="30">
        <v>4</v>
      </c>
      <c r="AB31" s="7" t="s">
        <v>2024</v>
      </c>
      <c r="AC31" s="30">
        <v>11</v>
      </c>
    </row>
    <row r="32" spans="1:29" x14ac:dyDescent="0.35">
      <c r="A32" s="7" t="s">
        <v>98</v>
      </c>
      <c r="B32" s="10">
        <v>1197790</v>
      </c>
      <c r="V32" s="7">
        <v>55</v>
      </c>
      <c r="W32" s="30">
        <v>6</v>
      </c>
      <c r="AB32" s="7" t="s">
        <v>1984</v>
      </c>
      <c r="AC32" s="30">
        <v>141</v>
      </c>
    </row>
    <row r="33" spans="1:23" x14ac:dyDescent="0.35">
      <c r="A33" s="7" t="s">
        <v>76</v>
      </c>
      <c r="B33" s="10">
        <v>731819</v>
      </c>
      <c r="V33" s="7">
        <v>56</v>
      </c>
      <c r="W33" s="30">
        <v>3</v>
      </c>
    </row>
    <row r="34" spans="1:23" x14ac:dyDescent="0.35">
      <c r="A34" s="7" t="s">
        <v>55</v>
      </c>
      <c r="B34" s="10">
        <v>1356155</v>
      </c>
      <c r="V34" s="7">
        <v>57</v>
      </c>
      <c r="W34" s="30">
        <v>3</v>
      </c>
    </row>
    <row r="35" spans="1:23" x14ac:dyDescent="0.35">
      <c r="A35" s="7" t="s">
        <v>58</v>
      </c>
      <c r="B35" s="10">
        <v>894610</v>
      </c>
      <c r="V35" s="7">
        <v>58</v>
      </c>
      <c r="W35" s="30">
        <v>1</v>
      </c>
    </row>
    <row r="36" spans="1:23" x14ac:dyDescent="0.35">
      <c r="A36" s="7" t="s">
        <v>14</v>
      </c>
      <c r="B36" s="10">
        <v>23330493</v>
      </c>
      <c r="V36" s="7">
        <v>59</v>
      </c>
      <c r="W36" s="30">
        <v>6</v>
      </c>
    </row>
    <row r="37" spans="1:23" x14ac:dyDescent="0.35">
      <c r="A37" s="7" t="s">
        <v>1984</v>
      </c>
      <c r="B37" s="10">
        <v>113217365</v>
      </c>
      <c r="V37" s="7">
        <v>60</v>
      </c>
      <c r="W37" s="30">
        <v>4</v>
      </c>
    </row>
    <row r="38" spans="1:23" x14ac:dyDescent="0.35">
      <c r="V38" s="7">
        <v>61</v>
      </c>
      <c r="W38" s="30">
        <v>2</v>
      </c>
    </row>
    <row r="39" spans="1:23" x14ac:dyDescent="0.35">
      <c r="V39" s="7">
        <v>62</v>
      </c>
      <c r="W39" s="30">
        <v>3</v>
      </c>
    </row>
    <row r="40" spans="1:23" x14ac:dyDescent="0.35">
      <c r="V40" s="7">
        <v>63</v>
      </c>
      <c r="W40" s="30">
        <v>3</v>
      </c>
    </row>
    <row r="41" spans="1:23" x14ac:dyDescent="0.35">
      <c r="V41" s="7">
        <v>64</v>
      </c>
      <c r="W41" s="30">
        <v>6</v>
      </c>
    </row>
    <row r="42" spans="1:23" x14ac:dyDescent="0.35">
      <c r="V42" s="7">
        <v>65</v>
      </c>
      <c r="W42" s="30">
        <v>1</v>
      </c>
    </row>
    <row r="43" spans="1:23" x14ac:dyDescent="0.35">
      <c r="V43" s="7" t="s">
        <v>1984</v>
      </c>
      <c r="W43" s="30">
        <v>141</v>
      </c>
    </row>
  </sheetData>
  <phoneticPr fontId="3" type="noConversion"/>
  <pageMargins left="0.7" right="0.7" top="0.75" bottom="0.75" header="0.3" footer="0.3"/>
  <pageSetup paperSize="9" orientation="portrait" r:id="rId11"/>
  <tableParts count="1"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60FD4-E818-43DD-82F8-08E3A45897CD}">
  <sheetPr codeName="Лист6"/>
  <dimension ref="A1:O1001"/>
  <sheetViews>
    <sheetView zoomScale="72" workbookViewId="0"/>
  </sheetViews>
  <sheetFormatPr defaultRowHeight="14.5" x14ac:dyDescent="0.35"/>
  <cols>
    <col min="1" max="1" width="7.1796875" bestFit="1" customWidth="1"/>
    <col min="2" max="2" width="20.54296875" bestFit="1" customWidth="1"/>
    <col min="3" max="3" width="27.7265625" bestFit="1" customWidth="1"/>
    <col min="4" max="4" width="16.81640625" bestFit="1" customWidth="1"/>
    <col min="5" max="5" width="23.81640625" bestFit="1" customWidth="1"/>
    <col min="6" max="6" width="10" bestFit="1" customWidth="1"/>
    <col min="7" max="7" width="11" bestFit="1" customWidth="1"/>
    <col min="8" max="8" width="6.7265625" bestFit="1" customWidth="1"/>
    <col min="9" max="9" width="11.54296875" bestFit="1" customWidth="1"/>
    <col min="10" max="10" width="15.453125" bestFit="1" customWidth="1"/>
    <col min="11" max="11" width="10.7265625" bestFit="1" customWidth="1"/>
    <col min="12" max="12" width="12.81640625" bestFit="1" customWidth="1"/>
    <col min="13" max="13" width="13.54296875" bestFit="1" customWidth="1"/>
    <col min="14" max="14" width="11.1796875" bestFit="1" customWidth="1"/>
    <col min="15" max="15" width="13" customWidth="1"/>
  </cols>
  <sheetData>
    <row r="1" spans="1:15" s="7" customFormat="1" x14ac:dyDescent="0.3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6" t="s">
        <v>13</v>
      </c>
      <c r="O1" s="5" t="s">
        <v>1988</v>
      </c>
    </row>
    <row r="2" spans="1:15" x14ac:dyDescent="0.35">
      <c r="A2" t="s">
        <v>410</v>
      </c>
      <c r="B2" t="s">
        <v>411</v>
      </c>
      <c r="C2" t="s">
        <v>61</v>
      </c>
      <c r="D2" t="s">
        <v>27</v>
      </c>
      <c r="E2" t="s">
        <v>16</v>
      </c>
      <c r="F2" t="s">
        <v>17</v>
      </c>
      <c r="G2" t="s">
        <v>47</v>
      </c>
      <c r="H2">
        <v>55</v>
      </c>
      <c r="I2" s="1">
        <v>42468</v>
      </c>
      <c r="J2" s="2">
        <v>141604</v>
      </c>
      <c r="K2" s="3">
        <v>0.15</v>
      </c>
      <c r="L2" t="s">
        <v>19</v>
      </c>
      <c r="M2" t="s">
        <v>63</v>
      </c>
      <c r="N2" s="1">
        <v>44485</v>
      </c>
      <c r="O2" s="1" t="str">
        <f>IF(OR(TBL_Employees[[#This Row],[Exit Date]],FALSE),"Left employees", "Current employees")</f>
        <v>Left employees</v>
      </c>
    </row>
    <row r="3" spans="1:15" x14ac:dyDescent="0.35">
      <c r="A3" t="s">
        <v>412</v>
      </c>
      <c r="B3" t="s">
        <v>413</v>
      </c>
      <c r="C3" t="s">
        <v>55</v>
      </c>
      <c r="D3" t="s">
        <v>27</v>
      </c>
      <c r="E3" t="s">
        <v>36</v>
      </c>
      <c r="F3" t="s">
        <v>28</v>
      </c>
      <c r="G3" t="s">
        <v>24</v>
      </c>
      <c r="H3">
        <v>59</v>
      </c>
      <c r="I3" s="1">
        <v>35763</v>
      </c>
      <c r="J3" s="2">
        <v>99975</v>
      </c>
      <c r="K3" s="3">
        <v>0</v>
      </c>
      <c r="L3" t="s">
        <v>33</v>
      </c>
      <c r="M3" t="s">
        <v>80</v>
      </c>
      <c r="N3" s="1" t="s">
        <v>21</v>
      </c>
      <c r="O3" s="1" t="str">
        <f>IF(OR(TBL_Employees[[#This Row],[Exit Date]],FALSE),"Left employees", "Current employees")</f>
        <v>Current employees</v>
      </c>
    </row>
    <row r="4" spans="1:15" x14ac:dyDescent="0.35">
      <c r="A4" t="s">
        <v>57</v>
      </c>
      <c r="B4" t="s">
        <v>414</v>
      </c>
      <c r="C4" t="s">
        <v>40</v>
      </c>
      <c r="D4" t="s">
        <v>15</v>
      </c>
      <c r="E4" t="s">
        <v>44</v>
      </c>
      <c r="F4" t="s">
        <v>17</v>
      </c>
      <c r="G4" t="s">
        <v>18</v>
      </c>
      <c r="H4">
        <v>50</v>
      </c>
      <c r="I4" s="1">
        <v>39016</v>
      </c>
      <c r="J4" s="2">
        <v>163099</v>
      </c>
      <c r="K4" s="3">
        <v>0.2</v>
      </c>
      <c r="L4" t="s">
        <v>19</v>
      </c>
      <c r="M4" t="s">
        <v>20</v>
      </c>
      <c r="N4" s="1" t="s">
        <v>21</v>
      </c>
      <c r="O4" s="1" t="str">
        <f>IF(OR(TBL_Employees[[#This Row],[Exit Date]],FALSE),"Left employees", "Current employees")</f>
        <v>Current employees</v>
      </c>
    </row>
    <row r="5" spans="1:15" x14ac:dyDescent="0.35">
      <c r="A5" t="s">
        <v>100</v>
      </c>
      <c r="B5" t="s">
        <v>415</v>
      </c>
      <c r="C5" t="s">
        <v>56</v>
      </c>
      <c r="D5" t="s">
        <v>27</v>
      </c>
      <c r="E5" t="s">
        <v>36</v>
      </c>
      <c r="F5" t="s">
        <v>17</v>
      </c>
      <c r="G5" t="s">
        <v>18</v>
      </c>
      <c r="H5">
        <v>26</v>
      </c>
      <c r="I5" s="1">
        <v>43735</v>
      </c>
      <c r="J5" s="2">
        <v>84913</v>
      </c>
      <c r="K5" s="3">
        <v>7.0000000000000007E-2</v>
      </c>
      <c r="L5" t="s">
        <v>19</v>
      </c>
      <c r="M5" t="s">
        <v>20</v>
      </c>
      <c r="N5" s="1" t="s">
        <v>21</v>
      </c>
      <c r="O5" s="1" t="str">
        <f>IF(OR(TBL_Employees[[#This Row],[Exit Date]],FALSE),"Left employees", "Current employees")</f>
        <v>Current employees</v>
      </c>
    </row>
    <row r="6" spans="1:15" x14ac:dyDescent="0.35">
      <c r="A6" t="s">
        <v>362</v>
      </c>
      <c r="B6" t="s">
        <v>416</v>
      </c>
      <c r="C6" t="s">
        <v>42</v>
      </c>
      <c r="D6" t="s">
        <v>15</v>
      </c>
      <c r="E6" t="s">
        <v>36</v>
      </c>
      <c r="F6" t="s">
        <v>28</v>
      </c>
      <c r="G6" t="s">
        <v>24</v>
      </c>
      <c r="H6">
        <v>55</v>
      </c>
      <c r="I6" s="1">
        <v>35023</v>
      </c>
      <c r="J6" s="2">
        <v>95409</v>
      </c>
      <c r="K6" s="3">
        <v>0</v>
      </c>
      <c r="L6" t="s">
        <v>19</v>
      </c>
      <c r="M6" t="s">
        <v>39</v>
      </c>
      <c r="N6" s="1" t="s">
        <v>21</v>
      </c>
      <c r="O6" s="1" t="str">
        <f>IF(OR(TBL_Employees[[#This Row],[Exit Date]],FALSE),"Left employees", "Current employees")</f>
        <v>Current employees</v>
      </c>
    </row>
    <row r="7" spans="1:15" x14ac:dyDescent="0.35">
      <c r="A7" t="s">
        <v>417</v>
      </c>
      <c r="B7" t="s">
        <v>418</v>
      </c>
      <c r="C7" t="s">
        <v>94</v>
      </c>
      <c r="D7" t="s">
        <v>50</v>
      </c>
      <c r="E7" t="s">
        <v>32</v>
      </c>
      <c r="F7" t="s">
        <v>28</v>
      </c>
      <c r="G7" t="s">
        <v>24</v>
      </c>
      <c r="H7">
        <v>57</v>
      </c>
      <c r="I7" s="1">
        <v>42759</v>
      </c>
      <c r="J7" s="2">
        <v>50994</v>
      </c>
      <c r="K7" s="3">
        <v>0</v>
      </c>
      <c r="L7" t="s">
        <v>33</v>
      </c>
      <c r="M7" t="s">
        <v>80</v>
      </c>
      <c r="N7" s="1" t="s">
        <v>21</v>
      </c>
      <c r="O7" s="1" t="str">
        <f>IF(OR(TBL_Employees[[#This Row],[Exit Date]],FALSE),"Left employees", "Current employees")</f>
        <v>Current employees</v>
      </c>
    </row>
    <row r="8" spans="1:15" x14ac:dyDescent="0.35">
      <c r="A8" t="s">
        <v>99</v>
      </c>
      <c r="B8" t="s">
        <v>257</v>
      </c>
      <c r="C8" t="s">
        <v>62</v>
      </c>
      <c r="D8" t="s">
        <v>27</v>
      </c>
      <c r="E8" t="s">
        <v>32</v>
      </c>
      <c r="F8" t="s">
        <v>17</v>
      </c>
      <c r="G8" t="s">
        <v>18</v>
      </c>
      <c r="H8">
        <v>27</v>
      </c>
      <c r="I8" s="1">
        <v>44013</v>
      </c>
      <c r="J8" s="2">
        <v>119746</v>
      </c>
      <c r="K8" s="3">
        <v>0.1</v>
      </c>
      <c r="L8" t="s">
        <v>19</v>
      </c>
      <c r="M8" t="s">
        <v>39</v>
      </c>
      <c r="N8" s="1" t="s">
        <v>21</v>
      </c>
      <c r="O8" s="1" t="str">
        <f>IF(OR(TBL_Employees[[#This Row],[Exit Date]],FALSE),"Left employees", "Current employees")</f>
        <v>Current employees</v>
      </c>
    </row>
    <row r="9" spans="1:15" x14ac:dyDescent="0.35">
      <c r="A9" t="s">
        <v>296</v>
      </c>
      <c r="B9" t="s">
        <v>419</v>
      </c>
      <c r="C9" t="s">
        <v>68</v>
      </c>
      <c r="D9" t="s">
        <v>15</v>
      </c>
      <c r="E9" t="s">
        <v>36</v>
      </c>
      <c r="F9" t="s">
        <v>28</v>
      </c>
      <c r="G9" t="s">
        <v>47</v>
      </c>
      <c r="H9">
        <v>25</v>
      </c>
      <c r="I9" s="1">
        <v>43967</v>
      </c>
      <c r="J9" s="2">
        <v>41336</v>
      </c>
      <c r="K9" s="3">
        <v>0</v>
      </c>
      <c r="L9" t="s">
        <v>19</v>
      </c>
      <c r="M9" t="s">
        <v>45</v>
      </c>
      <c r="N9" s="1">
        <v>44336</v>
      </c>
      <c r="O9" s="1" t="str">
        <f>IF(OR(TBL_Employees[[#This Row],[Exit Date]],FALSE),"Left employees", "Current employees")</f>
        <v>Left employees</v>
      </c>
    </row>
    <row r="10" spans="1:15" x14ac:dyDescent="0.35">
      <c r="A10" t="s">
        <v>420</v>
      </c>
      <c r="B10" t="s">
        <v>421</v>
      </c>
      <c r="C10" t="s">
        <v>62</v>
      </c>
      <c r="D10" t="s">
        <v>65</v>
      </c>
      <c r="E10" t="s">
        <v>36</v>
      </c>
      <c r="F10" t="s">
        <v>28</v>
      </c>
      <c r="G10" t="s">
        <v>18</v>
      </c>
      <c r="H10">
        <v>29</v>
      </c>
      <c r="I10" s="1">
        <v>43490</v>
      </c>
      <c r="J10" s="2">
        <v>113527</v>
      </c>
      <c r="K10" s="3">
        <v>0.06</v>
      </c>
      <c r="L10" t="s">
        <v>19</v>
      </c>
      <c r="M10" t="s">
        <v>25</v>
      </c>
      <c r="N10" s="1" t="s">
        <v>21</v>
      </c>
      <c r="O10" s="1" t="str">
        <f>IF(OR(TBL_Employees[[#This Row],[Exit Date]],FALSE),"Left employees", "Current employees")</f>
        <v>Current employees</v>
      </c>
    </row>
    <row r="11" spans="1:15" x14ac:dyDescent="0.35">
      <c r="A11" t="s">
        <v>422</v>
      </c>
      <c r="B11" t="s">
        <v>423</v>
      </c>
      <c r="C11" t="s">
        <v>42</v>
      </c>
      <c r="D11" t="s">
        <v>15</v>
      </c>
      <c r="E11" t="s">
        <v>44</v>
      </c>
      <c r="F11" t="s">
        <v>17</v>
      </c>
      <c r="G11" t="s">
        <v>18</v>
      </c>
      <c r="H11">
        <v>34</v>
      </c>
      <c r="I11" s="1">
        <v>43264</v>
      </c>
      <c r="J11" s="2">
        <v>77203</v>
      </c>
      <c r="K11" s="3">
        <v>0</v>
      </c>
      <c r="L11" t="s">
        <v>19</v>
      </c>
      <c r="M11" t="s">
        <v>20</v>
      </c>
      <c r="N11" s="1" t="s">
        <v>21</v>
      </c>
      <c r="O11" s="1" t="str">
        <f>IF(OR(TBL_Employees[[#This Row],[Exit Date]],FALSE),"Left employees", "Current employees")</f>
        <v>Current employees</v>
      </c>
    </row>
    <row r="12" spans="1:15" x14ac:dyDescent="0.35">
      <c r="A12" t="s">
        <v>174</v>
      </c>
      <c r="B12" t="s">
        <v>424</v>
      </c>
      <c r="C12" t="s">
        <v>61</v>
      </c>
      <c r="D12" t="s">
        <v>23</v>
      </c>
      <c r="E12" t="s">
        <v>36</v>
      </c>
      <c r="F12" t="s">
        <v>17</v>
      </c>
      <c r="G12" t="s">
        <v>24</v>
      </c>
      <c r="H12">
        <v>36</v>
      </c>
      <c r="I12" s="1">
        <v>39855</v>
      </c>
      <c r="J12" s="2">
        <v>157333</v>
      </c>
      <c r="K12" s="3">
        <v>0.15</v>
      </c>
      <c r="L12" t="s">
        <v>19</v>
      </c>
      <c r="M12" t="s">
        <v>45</v>
      </c>
      <c r="N12" s="1" t="s">
        <v>21</v>
      </c>
      <c r="O12" s="1" t="str">
        <f>IF(OR(TBL_Employees[[#This Row],[Exit Date]],FALSE),"Left employees", "Current employees")</f>
        <v>Current employees</v>
      </c>
    </row>
    <row r="13" spans="1:15" x14ac:dyDescent="0.35">
      <c r="A13" t="s">
        <v>425</v>
      </c>
      <c r="B13" t="s">
        <v>426</v>
      </c>
      <c r="C13" t="s">
        <v>84</v>
      </c>
      <c r="D13" t="s">
        <v>31</v>
      </c>
      <c r="E13" t="s">
        <v>44</v>
      </c>
      <c r="F13" t="s">
        <v>17</v>
      </c>
      <c r="G13" t="s">
        <v>18</v>
      </c>
      <c r="H13">
        <v>27</v>
      </c>
      <c r="I13" s="1">
        <v>44490</v>
      </c>
      <c r="J13" s="2">
        <v>109851</v>
      </c>
      <c r="K13" s="3">
        <v>0</v>
      </c>
      <c r="L13" t="s">
        <v>19</v>
      </c>
      <c r="M13" t="s">
        <v>63</v>
      </c>
      <c r="N13" s="1" t="s">
        <v>21</v>
      </c>
      <c r="O13" s="1" t="str">
        <f>IF(OR(TBL_Employees[[#This Row],[Exit Date]],FALSE),"Left employees", "Current employees")</f>
        <v>Current employees</v>
      </c>
    </row>
    <row r="14" spans="1:15" x14ac:dyDescent="0.35">
      <c r="A14" t="s">
        <v>46</v>
      </c>
      <c r="B14" t="s">
        <v>427</v>
      </c>
      <c r="C14" t="s">
        <v>62</v>
      </c>
      <c r="D14" t="s">
        <v>23</v>
      </c>
      <c r="E14" t="s">
        <v>36</v>
      </c>
      <c r="F14" t="s">
        <v>28</v>
      </c>
      <c r="G14" t="s">
        <v>18</v>
      </c>
      <c r="H14">
        <v>59</v>
      </c>
      <c r="I14" s="1">
        <v>36233</v>
      </c>
      <c r="J14" s="2">
        <v>105086</v>
      </c>
      <c r="K14" s="3">
        <v>0.09</v>
      </c>
      <c r="L14" t="s">
        <v>19</v>
      </c>
      <c r="M14" t="s">
        <v>25</v>
      </c>
      <c r="N14" s="1" t="s">
        <v>21</v>
      </c>
      <c r="O14" s="1" t="str">
        <f>IF(OR(TBL_Employees[[#This Row],[Exit Date]],FALSE),"Left employees", "Current employees")</f>
        <v>Current employees</v>
      </c>
    </row>
    <row r="15" spans="1:15" x14ac:dyDescent="0.35">
      <c r="A15" t="s">
        <v>428</v>
      </c>
      <c r="B15" t="s">
        <v>429</v>
      </c>
      <c r="C15" t="s">
        <v>61</v>
      </c>
      <c r="D15" t="s">
        <v>15</v>
      </c>
      <c r="E15" t="s">
        <v>16</v>
      </c>
      <c r="F15" t="s">
        <v>17</v>
      </c>
      <c r="G15" t="s">
        <v>24</v>
      </c>
      <c r="H15">
        <v>51</v>
      </c>
      <c r="I15" s="1">
        <v>44357</v>
      </c>
      <c r="J15" s="2">
        <v>146742</v>
      </c>
      <c r="K15" s="3">
        <v>0.1</v>
      </c>
      <c r="L15" t="s">
        <v>33</v>
      </c>
      <c r="M15" t="s">
        <v>74</v>
      </c>
      <c r="N15" s="1" t="s">
        <v>21</v>
      </c>
      <c r="O15" s="1" t="str">
        <f>IF(OR(TBL_Employees[[#This Row],[Exit Date]],FALSE),"Left employees", "Current employees")</f>
        <v>Current employees</v>
      </c>
    </row>
    <row r="16" spans="1:15" x14ac:dyDescent="0.35">
      <c r="A16" t="s">
        <v>430</v>
      </c>
      <c r="B16" t="s">
        <v>431</v>
      </c>
      <c r="C16" t="s">
        <v>42</v>
      </c>
      <c r="D16" t="s">
        <v>65</v>
      </c>
      <c r="E16" t="s">
        <v>44</v>
      </c>
      <c r="F16" t="s">
        <v>28</v>
      </c>
      <c r="G16" t="s">
        <v>24</v>
      </c>
      <c r="H16">
        <v>31</v>
      </c>
      <c r="I16" s="1">
        <v>43043</v>
      </c>
      <c r="J16" s="2">
        <v>97078</v>
      </c>
      <c r="K16" s="3">
        <v>0</v>
      </c>
      <c r="L16" t="s">
        <v>19</v>
      </c>
      <c r="M16" t="s">
        <v>25</v>
      </c>
      <c r="N16" s="1">
        <v>43899</v>
      </c>
      <c r="O16" s="1" t="str">
        <f>IF(OR(TBL_Employees[[#This Row],[Exit Date]],FALSE),"Left employees", "Current employees")</f>
        <v>Left employees</v>
      </c>
    </row>
    <row r="17" spans="1:15" x14ac:dyDescent="0.35">
      <c r="A17" t="s">
        <v>432</v>
      </c>
      <c r="B17" t="s">
        <v>433</v>
      </c>
      <c r="C17" t="s">
        <v>14</v>
      </c>
      <c r="D17" t="s">
        <v>43</v>
      </c>
      <c r="E17" t="s">
        <v>16</v>
      </c>
      <c r="F17" t="s">
        <v>17</v>
      </c>
      <c r="G17" t="s">
        <v>24</v>
      </c>
      <c r="H17">
        <v>41</v>
      </c>
      <c r="I17" s="1">
        <v>41346</v>
      </c>
      <c r="J17" s="2">
        <v>249270</v>
      </c>
      <c r="K17" s="3">
        <v>0.3</v>
      </c>
      <c r="L17" t="s">
        <v>19</v>
      </c>
      <c r="M17" t="s">
        <v>63</v>
      </c>
      <c r="N17" s="1" t="s">
        <v>21</v>
      </c>
      <c r="O17" s="1" t="str">
        <f>IF(OR(TBL_Employees[[#This Row],[Exit Date]],FALSE),"Left employees", "Current employees")</f>
        <v>Current employees</v>
      </c>
    </row>
    <row r="18" spans="1:15" x14ac:dyDescent="0.35">
      <c r="A18" t="s">
        <v>434</v>
      </c>
      <c r="B18" t="s">
        <v>435</v>
      </c>
      <c r="C18" t="s">
        <v>40</v>
      </c>
      <c r="D18" t="s">
        <v>15</v>
      </c>
      <c r="E18" t="s">
        <v>16</v>
      </c>
      <c r="F18" t="s">
        <v>17</v>
      </c>
      <c r="G18" t="s">
        <v>47</v>
      </c>
      <c r="H18">
        <v>65</v>
      </c>
      <c r="I18" s="1">
        <v>37319</v>
      </c>
      <c r="J18" s="2">
        <v>175837</v>
      </c>
      <c r="K18" s="3">
        <v>0.2</v>
      </c>
      <c r="L18" t="s">
        <v>19</v>
      </c>
      <c r="M18" t="s">
        <v>39</v>
      </c>
      <c r="N18" s="1" t="s">
        <v>21</v>
      </c>
      <c r="O18" s="1" t="str">
        <f>IF(OR(TBL_Employees[[#This Row],[Exit Date]],FALSE),"Left employees", "Current employees")</f>
        <v>Current employees</v>
      </c>
    </row>
    <row r="19" spans="1:15" x14ac:dyDescent="0.35">
      <c r="A19" t="s">
        <v>436</v>
      </c>
      <c r="B19" t="s">
        <v>437</v>
      </c>
      <c r="C19" t="s">
        <v>61</v>
      </c>
      <c r="D19" t="s">
        <v>43</v>
      </c>
      <c r="E19" t="s">
        <v>44</v>
      </c>
      <c r="F19" t="s">
        <v>17</v>
      </c>
      <c r="G19" t="s">
        <v>51</v>
      </c>
      <c r="H19">
        <v>64</v>
      </c>
      <c r="I19" s="1">
        <v>37956</v>
      </c>
      <c r="J19" s="2">
        <v>154828</v>
      </c>
      <c r="K19" s="3">
        <v>0.13</v>
      </c>
      <c r="L19" t="s">
        <v>19</v>
      </c>
      <c r="M19" t="s">
        <v>63</v>
      </c>
      <c r="N19" s="1" t="s">
        <v>21</v>
      </c>
      <c r="O19" s="1" t="str">
        <f>IF(OR(TBL_Employees[[#This Row],[Exit Date]],FALSE),"Left employees", "Current employees")</f>
        <v>Current employees</v>
      </c>
    </row>
    <row r="20" spans="1:15" x14ac:dyDescent="0.35">
      <c r="A20" t="s">
        <v>438</v>
      </c>
      <c r="B20" t="s">
        <v>439</v>
      </c>
      <c r="C20" t="s">
        <v>40</v>
      </c>
      <c r="D20" t="s">
        <v>27</v>
      </c>
      <c r="E20" t="s">
        <v>32</v>
      </c>
      <c r="F20" t="s">
        <v>28</v>
      </c>
      <c r="G20" t="s">
        <v>18</v>
      </c>
      <c r="H20">
        <v>64</v>
      </c>
      <c r="I20" s="1">
        <v>41581</v>
      </c>
      <c r="J20" s="2">
        <v>186503</v>
      </c>
      <c r="K20" s="3">
        <v>0.24</v>
      </c>
      <c r="L20" t="s">
        <v>19</v>
      </c>
      <c r="M20" t="s">
        <v>29</v>
      </c>
      <c r="N20" s="1" t="s">
        <v>21</v>
      </c>
      <c r="O20" s="1" t="str">
        <f>IF(OR(TBL_Employees[[#This Row],[Exit Date]],FALSE),"Left employees", "Current employees")</f>
        <v>Current employees</v>
      </c>
    </row>
    <row r="21" spans="1:15" x14ac:dyDescent="0.35">
      <c r="A21" t="s">
        <v>369</v>
      </c>
      <c r="B21" t="s">
        <v>440</v>
      </c>
      <c r="C21" t="s">
        <v>40</v>
      </c>
      <c r="D21" t="s">
        <v>50</v>
      </c>
      <c r="E21" t="s">
        <v>16</v>
      </c>
      <c r="F21" t="s">
        <v>28</v>
      </c>
      <c r="G21" t="s">
        <v>24</v>
      </c>
      <c r="H21">
        <v>45</v>
      </c>
      <c r="I21" s="1">
        <v>37446</v>
      </c>
      <c r="J21" s="2">
        <v>166331</v>
      </c>
      <c r="K21" s="3">
        <v>0.18</v>
      </c>
      <c r="L21" t="s">
        <v>33</v>
      </c>
      <c r="M21" t="s">
        <v>80</v>
      </c>
      <c r="N21" s="1" t="s">
        <v>21</v>
      </c>
      <c r="O21" s="1" t="str">
        <f>IF(OR(TBL_Employees[[#This Row],[Exit Date]],FALSE),"Left employees", "Current employees")</f>
        <v>Current employees</v>
      </c>
    </row>
    <row r="22" spans="1:15" x14ac:dyDescent="0.35">
      <c r="A22" t="s">
        <v>382</v>
      </c>
      <c r="B22" t="s">
        <v>441</v>
      </c>
      <c r="C22" t="s">
        <v>61</v>
      </c>
      <c r="D22" t="s">
        <v>27</v>
      </c>
      <c r="E22" t="s">
        <v>36</v>
      </c>
      <c r="F22" t="s">
        <v>28</v>
      </c>
      <c r="G22" t="s">
        <v>51</v>
      </c>
      <c r="H22">
        <v>56</v>
      </c>
      <c r="I22" s="1">
        <v>40917</v>
      </c>
      <c r="J22" s="2">
        <v>146140</v>
      </c>
      <c r="K22" s="3">
        <v>0.1</v>
      </c>
      <c r="L22" t="s">
        <v>52</v>
      </c>
      <c r="M22" t="s">
        <v>81</v>
      </c>
      <c r="N22" s="1" t="s">
        <v>21</v>
      </c>
      <c r="O22" s="1" t="str">
        <f>IF(OR(TBL_Employees[[#This Row],[Exit Date]],FALSE),"Left employees", "Current employees")</f>
        <v>Current employees</v>
      </c>
    </row>
    <row r="23" spans="1:15" x14ac:dyDescent="0.35">
      <c r="A23" t="s">
        <v>340</v>
      </c>
      <c r="B23" t="s">
        <v>442</v>
      </c>
      <c r="C23" t="s">
        <v>40</v>
      </c>
      <c r="D23" t="s">
        <v>50</v>
      </c>
      <c r="E23" t="s">
        <v>36</v>
      </c>
      <c r="F23" t="s">
        <v>17</v>
      </c>
      <c r="G23" t="s">
        <v>51</v>
      </c>
      <c r="H23">
        <v>36</v>
      </c>
      <c r="I23" s="1">
        <v>44288</v>
      </c>
      <c r="J23" s="2">
        <v>151703</v>
      </c>
      <c r="K23" s="3">
        <v>0.21</v>
      </c>
      <c r="L23" t="s">
        <v>19</v>
      </c>
      <c r="M23" t="s">
        <v>45</v>
      </c>
      <c r="N23" s="1" t="s">
        <v>21</v>
      </c>
      <c r="O23" s="1" t="str">
        <f>IF(OR(TBL_Employees[[#This Row],[Exit Date]],FALSE),"Left employees", "Current employees")</f>
        <v>Current employees</v>
      </c>
    </row>
    <row r="24" spans="1:15" x14ac:dyDescent="0.35">
      <c r="A24" t="s">
        <v>443</v>
      </c>
      <c r="B24" t="s">
        <v>444</v>
      </c>
      <c r="C24" t="s">
        <v>40</v>
      </c>
      <c r="D24" t="s">
        <v>27</v>
      </c>
      <c r="E24" t="s">
        <v>16</v>
      </c>
      <c r="F24" t="s">
        <v>28</v>
      </c>
      <c r="G24" t="s">
        <v>51</v>
      </c>
      <c r="H24">
        <v>59</v>
      </c>
      <c r="I24" s="1">
        <v>37400</v>
      </c>
      <c r="J24" s="2">
        <v>172787</v>
      </c>
      <c r="K24" s="3">
        <v>0.28000000000000003</v>
      </c>
      <c r="L24" t="s">
        <v>52</v>
      </c>
      <c r="M24" t="s">
        <v>66</v>
      </c>
      <c r="N24" s="1" t="s">
        <v>21</v>
      </c>
      <c r="O24" s="1" t="str">
        <f>IF(OR(TBL_Employees[[#This Row],[Exit Date]],FALSE),"Left employees", "Current employees")</f>
        <v>Current employees</v>
      </c>
    </row>
    <row r="25" spans="1:15" x14ac:dyDescent="0.35">
      <c r="A25" t="s">
        <v>445</v>
      </c>
      <c r="B25" t="s">
        <v>446</v>
      </c>
      <c r="C25" t="s">
        <v>68</v>
      </c>
      <c r="D25" t="s">
        <v>50</v>
      </c>
      <c r="E25" t="s">
        <v>44</v>
      </c>
      <c r="F25" t="s">
        <v>28</v>
      </c>
      <c r="G25" t="s">
        <v>18</v>
      </c>
      <c r="H25">
        <v>37</v>
      </c>
      <c r="I25" s="1">
        <v>43713</v>
      </c>
      <c r="J25" s="2">
        <v>49998</v>
      </c>
      <c r="K25" s="3">
        <v>0</v>
      </c>
      <c r="L25" t="s">
        <v>19</v>
      </c>
      <c r="M25" t="s">
        <v>63</v>
      </c>
      <c r="N25" s="1" t="s">
        <v>21</v>
      </c>
      <c r="O25" s="1" t="str">
        <f>IF(OR(TBL_Employees[[#This Row],[Exit Date]],FALSE),"Left employees", "Current employees")</f>
        <v>Current employees</v>
      </c>
    </row>
    <row r="26" spans="1:15" x14ac:dyDescent="0.35">
      <c r="A26" t="s">
        <v>231</v>
      </c>
      <c r="B26" t="s">
        <v>447</v>
      </c>
      <c r="C26" t="s">
        <v>14</v>
      </c>
      <c r="D26" t="s">
        <v>50</v>
      </c>
      <c r="E26" t="s">
        <v>44</v>
      </c>
      <c r="F26" t="s">
        <v>28</v>
      </c>
      <c r="G26" t="s">
        <v>24</v>
      </c>
      <c r="H26">
        <v>44</v>
      </c>
      <c r="I26" s="1">
        <v>41700</v>
      </c>
      <c r="J26" s="2">
        <v>207172</v>
      </c>
      <c r="K26" s="3">
        <v>0.31</v>
      </c>
      <c r="L26" t="s">
        <v>33</v>
      </c>
      <c r="M26" t="s">
        <v>80</v>
      </c>
      <c r="N26" s="1" t="s">
        <v>21</v>
      </c>
      <c r="O26" s="1" t="str">
        <f>IF(OR(TBL_Employees[[#This Row],[Exit Date]],FALSE),"Left employees", "Current employees")</f>
        <v>Current employees</v>
      </c>
    </row>
    <row r="27" spans="1:15" x14ac:dyDescent="0.35">
      <c r="A27" t="s">
        <v>448</v>
      </c>
      <c r="B27" t="s">
        <v>449</v>
      </c>
      <c r="C27" t="s">
        <v>40</v>
      </c>
      <c r="D27" t="s">
        <v>23</v>
      </c>
      <c r="E27" t="s">
        <v>44</v>
      </c>
      <c r="F27" t="s">
        <v>28</v>
      </c>
      <c r="G27" t="s">
        <v>47</v>
      </c>
      <c r="H27">
        <v>41</v>
      </c>
      <c r="I27" s="1">
        <v>42111</v>
      </c>
      <c r="J27" s="2">
        <v>152239</v>
      </c>
      <c r="K27" s="3">
        <v>0.23</v>
      </c>
      <c r="L27" t="s">
        <v>19</v>
      </c>
      <c r="M27" t="s">
        <v>29</v>
      </c>
      <c r="N27" s="1" t="s">
        <v>21</v>
      </c>
      <c r="O27" s="1" t="str">
        <f>IF(OR(TBL_Employees[[#This Row],[Exit Date]],FALSE),"Left employees", "Current employees")</f>
        <v>Current employees</v>
      </c>
    </row>
    <row r="28" spans="1:15" x14ac:dyDescent="0.35">
      <c r="A28" t="s">
        <v>87</v>
      </c>
      <c r="B28" t="s">
        <v>450</v>
      </c>
      <c r="C28" t="s">
        <v>30</v>
      </c>
      <c r="D28" t="s">
        <v>31</v>
      </c>
      <c r="E28" t="s">
        <v>32</v>
      </c>
      <c r="F28" t="s">
        <v>17</v>
      </c>
      <c r="G28" t="s">
        <v>51</v>
      </c>
      <c r="H28">
        <v>56</v>
      </c>
      <c r="I28" s="1">
        <v>38388</v>
      </c>
      <c r="J28" s="2">
        <v>98581</v>
      </c>
      <c r="K28" s="3">
        <v>0</v>
      </c>
      <c r="L28" t="s">
        <v>52</v>
      </c>
      <c r="M28" t="s">
        <v>66</v>
      </c>
      <c r="N28" s="1" t="s">
        <v>21</v>
      </c>
      <c r="O28" s="1" t="str">
        <f>IF(OR(TBL_Employees[[#This Row],[Exit Date]],FALSE),"Left employees", "Current employees")</f>
        <v>Current employees</v>
      </c>
    </row>
    <row r="29" spans="1:15" x14ac:dyDescent="0.35">
      <c r="A29" t="s">
        <v>293</v>
      </c>
      <c r="B29" t="s">
        <v>451</v>
      </c>
      <c r="C29" t="s">
        <v>14</v>
      </c>
      <c r="D29" t="s">
        <v>31</v>
      </c>
      <c r="E29" t="s">
        <v>44</v>
      </c>
      <c r="F29" t="s">
        <v>28</v>
      </c>
      <c r="G29" t="s">
        <v>24</v>
      </c>
      <c r="H29">
        <v>43</v>
      </c>
      <c r="I29" s="1">
        <v>38145</v>
      </c>
      <c r="J29" s="2">
        <v>246231</v>
      </c>
      <c r="K29" s="3">
        <v>0.31</v>
      </c>
      <c r="L29" t="s">
        <v>19</v>
      </c>
      <c r="M29" t="s">
        <v>63</v>
      </c>
      <c r="N29" s="1" t="s">
        <v>21</v>
      </c>
      <c r="O29" s="1" t="str">
        <f>IF(OR(TBL_Employees[[#This Row],[Exit Date]],FALSE),"Left employees", "Current employees")</f>
        <v>Current employees</v>
      </c>
    </row>
    <row r="30" spans="1:15" x14ac:dyDescent="0.35">
      <c r="A30" t="s">
        <v>452</v>
      </c>
      <c r="B30" t="s">
        <v>453</v>
      </c>
      <c r="C30" t="s">
        <v>97</v>
      </c>
      <c r="D30" t="s">
        <v>31</v>
      </c>
      <c r="E30" t="s">
        <v>44</v>
      </c>
      <c r="F30" t="s">
        <v>28</v>
      </c>
      <c r="G30" t="s">
        <v>24</v>
      </c>
      <c r="H30">
        <v>64</v>
      </c>
      <c r="I30" s="1">
        <v>35403</v>
      </c>
      <c r="J30" s="2">
        <v>99354</v>
      </c>
      <c r="K30" s="3">
        <v>0.12</v>
      </c>
      <c r="L30" t="s">
        <v>33</v>
      </c>
      <c r="M30" t="s">
        <v>60</v>
      </c>
      <c r="N30" s="1" t="s">
        <v>21</v>
      </c>
      <c r="O30" s="1" t="str">
        <f>IF(OR(TBL_Employees[[#This Row],[Exit Date]],FALSE),"Left employees", "Current employees")</f>
        <v>Current employees</v>
      </c>
    </row>
    <row r="31" spans="1:15" x14ac:dyDescent="0.35">
      <c r="A31" t="s">
        <v>454</v>
      </c>
      <c r="B31" t="s">
        <v>455</v>
      </c>
      <c r="C31" t="s">
        <v>14</v>
      </c>
      <c r="D31" t="s">
        <v>27</v>
      </c>
      <c r="E31" t="s">
        <v>32</v>
      </c>
      <c r="F31" t="s">
        <v>28</v>
      </c>
      <c r="G31" t="s">
        <v>24</v>
      </c>
      <c r="H31">
        <v>63</v>
      </c>
      <c r="I31" s="1">
        <v>41040</v>
      </c>
      <c r="J31" s="2">
        <v>231141</v>
      </c>
      <c r="K31" s="3">
        <v>0.34</v>
      </c>
      <c r="L31" t="s">
        <v>33</v>
      </c>
      <c r="M31" t="s">
        <v>60</v>
      </c>
      <c r="N31" s="1" t="s">
        <v>21</v>
      </c>
      <c r="O31" s="1" t="str">
        <f>IF(OR(TBL_Employees[[#This Row],[Exit Date]],FALSE),"Left employees", "Current employees")</f>
        <v>Current employees</v>
      </c>
    </row>
    <row r="32" spans="1:15" x14ac:dyDescent="0.35">
      <c r="A32" t="s">
        <v>456</v>
      </c>
      <c r="B32" t="s">
        <v>457</v>
      </c>
      <c r="C32" t="s">
        <v>73</v>
      </c>
      <c r="D32" t="s">
        <v>27</v>
      </c>
      <c r="E32" t="s">
        <v>16</v>
      </c>
      <c r="F32" t="s">
        <v>28</v>
      </c>
      <c r="G32" t="s">
        <v>24</v>
      </c>
      <c r="H32">
        <v>28</v>
      </c>
      <c r="I32" s="1">
        <v>42911</v>
      </c>
      <c r="J32" s="2">
        <v>54775</v>
      </c>
      <c r="K32" s="3">
        <v>0</v>
      </c>
      <c r="L32" t="s">
        <v>19</v>
      </c>
      <c r="M32" t="s">
        <v>29</v>
      </c>
      <c r="N32" s="1" t="s">
        <v>21</v>
      </c>
      <c r="O32" s="1" t="str">
        <f>IF(OR(TBL_Employees[[#This Row],[Exit Date]],FALSE),"Left employees", "Current employees")</f>
        <v>Current employees</v>
      </c>
    </row>
    <row r="33" spans="1:15" x14ac:dyDescent="0.35">
      <c r="A33" t="s">
        <v>458</v>
      </c>
      <c r="B33" t="s">
        <v>459</v>
      </c>
      <c r="C33" t="s">
        <v>68</v>
      </c>
      <c r="D33" t="s">
        <v>15</v>
      </c>
      <c r="E33" t="s">
        <v>36</v>
      </c>
      <c r="F33" t="s">
        <v>28</v>
      </c>
      <c r="G33" t="s">
        <v>51</v>
      </c>
      <c r="H33">
        <v>65</v>
      </c>
      <c r="I33" s="1">
        <v>38123</v>
      </c>
      <c r="J33" s="2">
        <v>55499</v>
      </c>
      <c r="K33" s="3">
        <v>0</v>
      </c>
      <c r="L33" t="s">
        <v>52</v>
      </c>
      <c r="M33" t="s">
        <v>81</v>
      </c>
      <c r="N33" s="1" t="s">
        <v>21</v>
      </c>
      <c r="O33" s="1" t="str">
        <f>IF(OR(TBL_Employees[[#This Row],[Exit Date]],FALSE),"Left employees", "Current employees")</f>
        <v>Current employees</v>
      </c>
    </row>
    <row r="34" spans="1:15" x14ac:dyDescent="0.35">
      <c r="A34" t="s">
        <v>54</v>
      </c>
      <c r="B34" t="s">
        <v>460</v>
      </c>
      <c r="C34" t="s">
        <v>64</v>
      </c>
      <c r="D34" t="s">
        <v>50</v>
      </c>
      <c r="E34" t="s">
        <v>16</v>
      </c>
      <c r="F34" t="s">
        <v>28</v>
      </c>
      <c r="G34" t="s">
        <v>18</v>
      </c>
      <c r="H34">
        <v>61</v>
      </c>
      <c r="I34" s="1">
        <v>39640</v>
      </c>
      <c r="J34" s="2">
        <v>66521</v>
      </c>
      <c r="K34" s="3">
        <v>0</v>
      </c>
      <c r="L34" t="s">
        <v>19</v>
      </c>
      <c r="M34" t="s">
        <v>63</v>
      </c>
      <c r="N34" s="1" t="s">
        <v>21</v>
      </c>
      <c r="O34" s="1" t="str">
        <f>IF(OR(TBL_Employees[[#This Row],[Exit Date]],FALSE),"Left employees", "Current employees")</f>
        <v>Current employees</v>
      </c>
    </row>
    <row r="35" spans="1:15" x14ac:dyDescent="0.35">
      <c r="A35" t="s">
        <v>461</v>
      </c>
      <c r="B35" t="s">
        <v>462</v>
      </c>
      <c r="C35" t="s">
        <v>94</v>
      </c>
      <c r="D35" t="s">
        <v>50</v>
      </c>
      <c r="E35" t="s">
        <v>44</v>
      </c>
      <c r="F35" t="s">
        <v>28</v>
      </c>
      <c r="G35" t="s">
        <v>24</v>
      </c>
      <c r="H35">
        <v>30</v>
      </c>
      <c r="I35" s="1">
        <v>42642</v>
      </c>
      <c r="J35" s="2">
        <v>59100</v>
      </c>
      <c r="K35" s="3">
        <v>0</v>
      </c>
      <c r="L35" t="s">
        <v>33</v>
      </c>
      <c r="M35" t="s">
        <v>80</v>
      </c>
      <c r="N35" s="1" t="s">
        <v>21</v>
      </c>
      <c r="O35" s="1" t="str">
        <f>IF(OR(TBL_Employees[[#This Row],[Exit Date]],FALSE),"Left employees", "Current employees")</f>
        <v>Current employees</v>
      </c>
    </row>
    <row r="36" spans="1:15" x14ac:dyDescent="0.35">
      <c r="A36" t="s">
        <v>463</v>
      </c>
      <c r="B36" t="s">
        <v>464</v>
      </c>
      <c r="C36" t="s">
        <v>68</v>
      </c>
      <c r="D36" t="s">
        <v>15</v>
      </c>
      <c r="E36" t="s">
        <v>16</v>
      </c>
      <c r="F36" t="s">
        <v>17</v>
      </c>
      <c r="G36" t="s">
        <v>18</v>
      </c>
      <c r="H36">
        <v>27</v>
      </c>
      <c r="I36" s="1">
        <v>43226</v>
      </c>
      <c r="J36" s="2">
        <v>49011</v>
      </c>
      <c r="K36" s="3">
        <v>0</v>
      </c>
      <c r="L36" t="s">
        <v>19</v>
      </c>
      <c r="M36" t="s">
        <v>20</v>
      </c>
      <c r="N36" s="1" t="s">
        <v>21</v>
      </c>
      <c r="O36" s="1" t="str">
        <f>IF(OR(TBL_Employees[[#This Row],[Exit Date]],FALSE),"Left employees", "Current employees")</f>
        <v>Current employees</v>
      </c>
    </row>
    <row r="37" spans="1:15" x14ac:dyDescent="0.35">
      <c r="A37" t="s">
        <v>227</v>
      </c>
      <c r="B37" t="s">
        <v>465</v>
      </c>
      <c r="C37" t="s">
        <v>26</v>
      </c>
      <c r="D37" t="s">
        <v>27</v>
      </c>
      <c r="E37" t="s">
        <v>36</v>
      </c>
      <c r="F37" t="s">
        <v>17</v>
      </c>
      <c r="G37" t="s">
        <v>18</v>
      </c>
      <c r="H37">
        <v>32</v>
      </c>
      <c r="I37" s="1">
        <v>41681</v>
      </c>
      <c r="J37" s="2">
        <v>99575</v>
      </c>
      <c r="K37" s="3">
        <v>0</v>
      </c>
      <c r="L37" t="s">
        <v>19</v>
      </c>
      <c r="M37" t="s">
        <v>25</v>
      </c>
      <c r="N37" s="1" t="s">
        <v>21</v>
      </c>
      <c r="O37" s="1" t="str">
        <f>IF(OR(TBL_Employees[[#This Row],[Exit Date]],FALSE),"Left employees", "Current employees")</f>
        <v>Current employees</v>
      </c>
    </row>
    <row r="38" spans="1:15" x14ac:dyDescent="0.35">
      <c r="A38" t="s">
        <v>466</v>
      </c>
      <c r="B38" t="s">
        <v>72</v>
      </c>
      <c r="C38" t="s">
        <v>84</v>
      </c>
      <c r="D38" t="s">
        <v>31</v>
      </c>
      <c r="E38" t="s">
        <v>36</v>
      </c>
      <c r="F38" t="s">
        <v>17</v>
      </c>
      <c r="G38" t="s">
        <v>24</v>
      </c>
      <c r="H38">
        <v>34</v>
      </c>
      <c r="I38" s="1">
        <v>43815</v>
      </c>
      <c r="J38" s="2">
        <v>99989</v>
      </c>
      <c r="K38" s="3">
        <v>0</v>
      </c>
      <c r="L38" t="s">
        <v>33</v>
      </c>
      <c r="M38" t="s">
        <v>34</v>
      </c>
      <c r="N38" s="1" t="s">
        <v>21</v>
      </c>
      <c r="O38" s="1" t="str">
        <f>IF(OR(TBL_Employees[[#This Row],[Exit Date]],FALSE),"Left employees", "Current employees")</f>
        <v>Current employees</v>
      </c>
    </row>
    <row r="39" spans="1:15" x14ac:dyDescent="0.35">
      <c r="A39" t="s">
        <v>467</v>
      </c>
      <c r="B39" t="s">
        <v>468</v>
      </c>
      <c r="C39" t="s">
        <v>14</v>
      </c>
      <c r="D39" t="s">
        <v>43</v>
      </c>
      <c r="E39" t="s">
        <v>16</v>
      </c>
      <c r="F39" t="s">
        <v>28</v>
      </c>
      <c r="G39" t="s">
        <v>18</v>
      </c>
      <c r="H39">
        <v>27</v>
      </c>
      <c r="I39" s="1">
        <v>43758</v>
      </c>
      <c r="J39" s="2">
        <v>256420</v>
      </c>
      <c r="K39" s="3">
        <v>0.3</v>
      </c>
      <c r="L39" t="s">
        <v>19</v>
      </c>
      <c r="M39" t="s">
        <v>39</v>
      </c>
      <c r="N39" s="1" t="s">
        <v>21</v>
      </c>
      <c r="O39" s="1" t="str">
        <f>IF(OR(TBL_Employees[[#This Row],[Exit Date]],FALSE),"Left employees", "Current employees")</f>
        <v>Current employees</v>
      </c>
    </row>
    <row r="40" spans="1:15" x14ac:dyDescent="0.35">
      <c r="A40" t="s">
        <v>101</v>
      </c>
      <c r="B40" t="s">
        <v>469</v>
      </c>
      <c r="C40" t="s">
        <v>55</v>
      </c>
      <c r="D40" t="s">
        <v>27</v>
      </c>
      <c r="E40" t="s">
        <v>36</v>
      </c>
      <c r="F40" t="s">
        <v>17</v>
      </c>
      <c r="G40" t="s">
        <v>51</v>
      </c>
      <c r="H40">
        <v>35</v>
      </c>
      <c r="I40" s="1">
        <v>41409</v>
      </c>
      <c r="J40" s="2">
        <v>78940</v>
      </c>
      <c r="K40" s="3">
        <v>0</v>
      </c>
      <c r="L40" t="s">
        <v>19</v>
      </c>
      <c r="M40" t="s">
        <v>45</v>
      </c>
      <c r="N40" s="1" t="s">
        <v>21</v>
      </c>
      <c r="O40" s="1" t="str">
        <f>IF(OR(TBL_Employees[[#This Row],[Exit Date]],FALSE),"Left employees", "Current employees")</f>
        <v>Current employees</v>
      </c>
    </row>
    <row r="41" spans="1:15" x14ac:dyDescent="0.35">
      <c r="A41" t="s">
        <v>470</v>
      </c>
      <c r="B41" t="s">
        <v>471</v>
      </c>
      <c r="C41" t="s">
        <v>26</v>
      </c>
      <c r="D41" t="s">
        <v>27</v>
      </c>
      <c r="E41" t="s">
        <v>32</v>
      </c>
      <c r="F41" t="s">
        <v>17</v>
      </c>
      <c r="G41" t="s">
        <v>51</v>
      </c>
      <c r="H41">
        <v>57</v>
      </c>
      <c r="I41" s="1">
        <v>34337</v>
      </c>
      <c r="J41" s="2">
        <v>82872</v>
      </c>
      <c r="K41" s="3">
        <v>0</v>
      </c>
      <c r="L41" t="s">
        <v>52</v>
      </c>
      <c r="M41" t="s">
        <v>81</v>
      </c>
      <c r="N41" s="1" t="s">
        <v>21</v>
      </c>
      <c r="O41" s="1" t="str">
        <f>IF(OR(TBL_Employees[[#This Row],[Exit Date]],FALSE),"Left employees", "Current employees")</f>
        <v>Current employees</v>
      </c>
    </row>
    <row r="42" spans="1:15" x14ac:dyDescent="0.35">
      <c r="A42" t="s">
        <v>333</v>
      </c>
      <c r="B42" t="s">
        <v>472</v>
      </c>
      <c r="C42" t="s">
        <v>77</v>
      </c>
      <c r="D42" t="s">
        <v>23</v>
      </c>
      <c r="E42" t="s">
        <v>44</v>
      </c>
      <c r="F42" t="s">
        <v>28</v>
      </c>
      <c r="G42" t="s">
        <v>24</v>
      </c>
      <c r="H42">
        <v>30</v>
      </c>
      <c r="I42" s="1">
        <v>42884</v>
      </c>
      <c r="J42" s="2">
        <v>86317</v>
      </c>
      <c r="K42" s="3">
        <v>0</v>
      </c>
      <c r="L42" t="s">
        <v>33</v>
      </c>
      <c r="M42" t="s">
        <v>34</v>
      </c>
      <c r="N42" s="1">
        <v>42932</v>
      </c>
      <c r="O42" s="1" t="str">
        <f>IF(OR(TBL_Employees[[#This Row],[Exit Date]],FALSE),"Left employees", "Current employees")</f>
        <v>Left employees</v>
      </c>
    </row>
    <row r="43" spans="1:15" x14ac:dyDescent="0.35">
      <c r="A43" t="s">
        <v>342</v>
      </c>
      <c r="B43" t="s">
        <v>473</v>
      </c>
      <c r="C43" t="s">
        <v>62</v>
      </c>
      <c r="D43" t="s">
        <v>43</v>
      </c>
      <c r="E43" t="s">
        <v>44</v>
      </c>
      <c r="F43" t="s">
        <v>17</v>
      </c>
      <c r="G43" t="s">
        <v>18</v>
      </c>
      <c r="H43">
        <v>53</v>
      </c>
      <c r="I43" s="1">
        <v>41601</v>
      </c>
      <c r="J43" s="2">
        <v>113135</v>
      </c>
      <c r="K43" s="3">
        <v>0.05</v>
      </c>
      <c r="L43" t="s">
        <v>19</v>
      </c>
      <c r="M43" t="s">
        <v>25</v>
      </c>
      <c r="N43" s="1" t="s">
        <v>21</v>
      </c>
      <c r="O43" s="1" t="str">
        <f>IF(OR(TBL_Employees[[#This Row],[Exit Date]],FALSE),"Left employees", "Current employees")</f>
        <v>Current employees</v>
      </c>
    </row>
    <row r="44" spans="1:15" x14ac:dyDescent="0.35">
      <c r="A44" t="s">
        <v>279</v>
      </c>
      <c r="B44" t="s">
        <v>474</v>
      </c>
      <c r="C44" t="s">
        <v>14</v>
      </c>
      <c r="D44" t="s">
        <v>27</v>
      </c>
      <c r="E44" t="s">
        <v>44</v>
      </c>
      <c r="F44" t="s">
        <v>28</v>
      </c>
      <c r="G44" t="s">
        <v>18</v>
      </c>
      <c r="H44">
        <v>52</v>
      </c>
      <c r="I44" s="1">
        <v>38664</v>
      </c>
      <c r="J44" s="2">
        <v>199808</v>
      </c>
      <c r="K44" s="3">
        <v>0.32</v>
      </c>
      <c r="L44" t="s">
        <v>19</v>
      </c>
      <c r="M44" t="s">
        <v>63</v>
      </c>
      <c r="N44" s="1" t="s">
        <v>21</v>
      </c>
      <c r="O44" s="1" t="str">
        <f>IF(OR(TBL_Employees[[#This Row],[Exit Date]],FALSE),"Left employees", "Current employees")</f>
        <v>Current employees</v>
      </c>
    </row>
    <row r="45" spans="1:15" x14ac:dyDescent="0.35">
      <c r="A45" t="s">
        <v>475</v>
      </c>
      <c r="B45" t="s">
        <v>476</v>
      </c>
      <c r="C45" t="s">
        <v>94</v>
      </c>
      <c r="D45" t="s">
        <v>50</v>
      </c>
      <c r="E45" t="s">
        <v>44</v>
      </c>
      <c r="F45" t="s">
        <v>28</v>
      </c>
      <c r="G45" t="s">
        <v>24</v>
      </c>
      <c r="H45">
        <v>37</v>
      </c>
      <c r="I45" s="1">
        <v>41592</v>
      </c>
      <c r="J45" s="2">
        <v>56037</v>
      </c>
      <c r="K45" s="3">
        <v>0</v>
      </c>
      <c r="L45" t="s">
        <v>33</v>
      </c>
      <c r="M45" t="s">
        <v>74</v>
      </c>
      <c r="N45" s="1" t="s">
        <v>21</v>
      </c>
      <c r="O45" s="1" t="str">
        <f>IF(OR(TBL_Employees[[#This Row],[Exit Date]],FALSE),"Left employees", "Current employees")</f>
        <v>Current employees</v>
      </c>
    </row>
    <row r="46" spans="1:15" x14ac:dyDescent="0.35">
      <c r="A46" t="s">
        <v>477</v>
      </c>
      <c r="B46" t="s">
        <v>478</v>
      </c>
      <c r="C46" t="s">
        <v>61</v>
      </c>
      <c r="D46" t="s">
        <v>43</v>
      </c>
      <c r="E46" t="s">
        <v>16</v>
      </c>
      <c r="F46" t="s">
        <v>17</v>
      </c>
      <c r="G46" t="s">
        <v>18</v>
      </c>
      <c r="H46">
        <v>29</v>
      </c>
      <c r="I46" s="1">
        <v>43609</v>
      </c>
      <c r="J46" s="2">
        <v>122350</v>
      </c>
      <c r="K46" s="3">
        <v>0.12</v>
      </c>
      <c r="L46" t="s">
        <v>19</v>
      </c>
      <c r="M46" t="s">
        <v>39</v>
      </c>
      <c r="N46" s="1" t="s">
        <v>21</v>
      </c>
      <c r="O46" s="1" t="str">
        <f>IF(OR(TBL_Employees[[#This Row],[Exit Date]],FALSE),"Left employees", "Current employees")</f>
        <v>Current employees</v>
      </c>
    </row>
    <row r="47" spans="1:15" x14ac:dyDescent="0.35">
      <c r="A47" t="s">
        <v>479</v>
      </c>
      <c r="B47" t="s">
        <v>480</v>
      </c>
      <c r="C47" t="s">
        <v>26</v>
      </c>
      <c r="D47" t="s">
        <v>27</v>
      </c>
      <c r="E47" t="s">
        <v>16</v>
      </c>
      <c r="F47" t="s">
        <v>28</v>
      </c>
      <c r="G47" t="s">
        <v>18</v>
      </c>
      <c r="H47">
        <v>40</v>
      </c>
      <c r="I47" s="1">
        <v>40486</v>
      </c>
      <c r="J47" s="2">
        <v>92952</v>
      </c>
      <c r="K47" s="3">
        <v>0</v>
      </c>
      <c r="L47" t="s">
        <v>19</v>
      </c>
      <c r="M47" t="s">
        <v>63</v>
      </c>
      <c r="N47" s="1" t="s">
        <v>21</v>
      </c>
      <c r="O47" s="1" t="str">
        <f>IF(OR(TBL_Employees[[#This Row],[Exit Date]],FALSE),"Left employees", "Current employees")</f>
        <v>Current employees</v>
      </c>
    </row>
    <row r="48" spans="1:15" x14ac:dyDescent="0.35">
      <c r="A48" t="s">
        <v>481</v>
      </c>
      <c r="B48" t="s">
        <v>482</v>
      </c>
      <c r="C48" t="s">
        <v>56</v>
      </c>
      <c r="D48" t="s">
        <v>27</v>
      </c>
      <c r="E48" t="s">
        <v>32</v>
      </c>
      <c r="F48" t="s">
        <v>28</v>
      </c>
      <c r="G48" t="s">
        <v>51</v>
      </c>
      <c r="H48">
        <v>32</v>
      </c>
      <c r="I48" s="1">
        <v>41353</v>
      </c>
      <c r="J48" s="2">
        <v>79921</v>
      </c>
      <c r="K48" s="3">
        <v>0.05</v>
      </c>
      <c r="L48" t="s">
        <v>19</v>
      </c>
      <c r="M48" t="s">
        <v>25</v>
      </c>
      <c r="N48" s="1" t="s">
        <v>21</v>
      </c>
      <c r="O48" s="1" t="str">
        <f>IF(OR(TBL_Employees[[#This Row],[Exit Date]],FALSE),"Left employees", "Current employees")</f>
        <v>Current employees</v>
      </c>
    </row>
    <row r="49" spans="1:15" x14ac:dyDescent="0.35">
      <c r="A49" t="s">
        <v>483</v>
      </c>
      <c r="B49" t="s">
        <v>484</v>
      </c>
      <c r="C49" t="s">
        <v>40</v>
      </c>
      <c r="D49" t="s">
        <v>27</v>
      </c>
      <c r="E49" t="s">
        <v>16</v>
      </c>
      <c r="F49" t="s">
        <v>17</v>
      </c>
      <c r="G49" t="s">
        <v>47</v>
      </c>
      <c r="H49">
        <v>37</v>
      </c>
      <c r="I49" s="1">
        <v>40076</v>
      </c>
      <c r="J49" s="2">
        <v>167199</v>
      </c>
      <c r="K49" s="3">
        <v>0.2</v>
      </c>
      <c r="L49" t="s">
        <v>19</v>
      </c>
      <c r="M49" t="s">
        <v>63</v>
      </c>
      <c r="N49" s="1" t="s">
        <v>21</v>
      </c>
      <c r="O49" s="1" t="str">
        <f>IF(OR(TBL_Employees[[#This Row],[Exit Date]],FALSE),"Left employees", "Current employees")</f>
        <v>Current employees</v>
      </c>
    </row>
    <row r="50" spans="1:15" x14ac:dyDescent="0.35">
      <c r="A50" t="s">
        <v>485</v>
      </c>
      <c r="B50" t="s">
        <v>486</v>
      </c>
      <c r="C50" t="s">
        <v>30</v>
      </c>
      <c r="D50" t="s">
        <v>31</v>
      </c>
      <c r="E50" t="s">
        <v>16</v>
      </c>
      <c r="F50" t="s">
        <v>28</v>
      </c>
      <c r="G50" t="s">
        <v>18</v>
      </c>
      <c r="H50">
        <v>52</v>
      </c>
      <c r="I50" s="1">
        <v>41199</v>
      </c>
      <c r="J50" s="2">
        <v>71476</v>
      </c>
      <c r="K50" s="3">
        <v>0</v>
      </c>
      <c r="L50" t="s">
        <v>19</v>
      </c>
      <c r="M50" t="s">
        <v>39</v>
      </c>
      <c r="N50" s="1" t="s">
        <v>21</v>
      </c>
      <c r="O50" s="1" t="str">
        <f>IF(OR(TBL_Employees[[#This Row],[Exit Date]],FALSE),"Left employees", "Current employees")</f>
        <v>Current employees</v>
      </c>
    </row>
    <row r="51" spans="1:15" x14ac:dyDescent="0.35">
      <c r="A51" t="s">
        <v>152</v>
      </c>
      <c r="B51" t="s">
        <v>487</v>
      </c>
      <c r="C51" t="s">
        <v>40</v>
      </c>
      <c r="D51" t="s">
        <v>31</v>
      </c>
      <c r="E51" t="s">
        <v>36</v>
      </c>
      <c r="F51" t="s">
        <v>17</v>
      </c>
      <c r="G51" t="s">
        <v>18</v>
      </c>
      <c r="H51">
        <v>45</v>
      </c>
      <c r="I51" s="1">
        <v>41941</v>
      </c>
      <c r="J51" s="2">
        <v>189420</v>
      </c>
      <c r="K51" s="3">
        <v>0.2</v>
      </c>
      <c r="L51" t="s">
        <v>19</v>
      </c>
      <c r="M51" t="s">
        <v>63</v>
      </c>
      <c r="N51" s="1" t="s">
        <v>21</v>
      </c>
      <c r="O51" s="1" t="str">
        <f>IF(OR(TBL_Employees[[#This Row],[Exit Date]],FALSE),"Left employees", "Current employees")</f>
        <v>Current employees</v>
      </c>
    </row>
    <row r="52" spans="1:15" x14ac:dyDescent="0.35">
      <c r="A52" t="s">
        <v>488</v>
      </c>
      <c r="B52" t="s">
        <v>489</v>
      </c>
      <c r="C52" t="s">
        <v>22</v>
      </c>
      <c r="D52" t="s">
        <v>23</v>
      </c>
      <c r="E52" t="s">
        <v>16</v>
      </c>
      <c r="F52" t="s">
        <v>17</v>
      </c>
      <c r="G52" t="s">
        <v>18</v>
      </c>
      <c r="H52">
        <v>64</v>
      </c>
      <c r="I52" s="1">
        <v>37184</v>
      </c>
      <c r="J52" s="2">
        <v>64057</v>
      </c>
      <c r="K52" s="3">
        <v>0</v>
      </c>
      <c r="L52" t="s">
        <v>19</v>
      </c>
      <c r="M52" t="s">
        <v>39</v>
      </c>
      <c r="N52" s="1" t="s">
        <v>21</v>
      </c>
      <c r="O52" s="1" t="str">
        <f>IF(OR(TBL_Employees[[#This Row],[Exit Date]],FALSE),"Left employees", "Current employees")</f>
        <v>Current employees</v>
      </c>
    </row>
    <row r="53" spans="1:15" x14ac:dyDescent="0.35">
      <c r="A53" t="s">
        <v>490</v>
      </c>
      <c r="B53" t="s">
        <v>491</v>
      </c>
      <c r="C53" t="s">
        <v>64</v>
      </c>
      <c r="D53" t="s">
        <v>43</v>
      </c>
      <c r="E53" t="s">
        <v>36</v>
      </c>
      <c r="F53" t="s">
        <v>17</v>
      </c>
      <c r="G53" t="s">
        <v>47</v>
      </c>
      <c r="H53">
        <v>27</v>
      </c>
      <c r="I53" s="1">
        <v>44460</v>
      </c>
      <c r="J53" s="2">
        <v>68728</v>
      </c>
      <c r="K53" s="3">
        <v>0</v>
      </c>
      <c r="L53" t="s">
        <v>19</v>
      </c>
      <c r="M53" t="s">
        <v>39</v>
      </c>
      <c r="N53" s="1" t="s">
        <v>21</v>
      </c>
      <c r="O53" s="1" t="str">
        <f>IF(OR(TBL_Employees[[#This Row],[Exit Date]],FALSE),"Left employees", "Current employees")</f>
        <v>Current employees</v>
      </c>
    </row>
    <row r="54" spans="1:15" x14ac:dyDescent="0.35">
      <c r="A54" t="s">
        <v>492</v>
      </c>
      <c r="B54" t="s">
        <v>493</v>
      </c>
      <c r="C54" t="s">
        <v>61</v>
      </c>
      <c r="D54" t="s">
        <v>27</v>
      </c>
      <c r="E54" t="s">
        <v>36</v>
      </c>
      <c r="F54" t="s">
        <v>17</v>
      </c>
      <c r="G54" t="s">
        <v>24</v>
      </c>
      <c r="H54">
        <v>25</v>
      </c>
      <c r="I54" s="1">
        <v>44379</v>
      </c>
      <c r="J54" s="2">
        <v>125633</v>
      </c>
      <c r="K54" s="3">
        <v>0.11</v>
      </c>
      <c r="L54" t="s">
        <v>33</v>
      </c>
      <c r="M54" t="s">
        <v>60</v>
      </c>
      <c r="N54" s="1" t="s">
        <v>21</v>
      </c>
      <c r="O54" s="1" t="str">
        <f>IF(OR(TBL_Employees[[#This Row],[Exit Date]],FALSE),"Left employees", "Current employees")</f>
        <v>Current employees</v>
      </c>
    </row>
    <row r="55" spans="1:15" x14ac:dyDescent="0.35">
      <c r="A55" t="s">
        <v>494</v>
      </c>
      <c r="B55" t="s">
        <v>495</v>
      </c>
      <c r="C55" t="s">
        <v>64</v>
      </c>
      <c r="D55" t="s">
        <v>43</v>
      </c>
      <c r="E55" t="s">
        <v>36</v>
      </c>
      <c r="F55" t="s">
        <v>28</v>
      </c>
      <c r="G55" t="s">
        <v>51</v>
      </c>
      <c r="H55">
        <v>35</v>
      </c>
      <c r="I55" s="1">
        <v>40678</v>
      </c>
      <c r="J55" s="2">
        <v>66889</v>
      </c>
      <c r="K55" s="3">
        <v>0</v>
      </c>
      <c r="L55" t="s">
        <v>19</v>
      </c>
      <c r="M55" t="s">
        <v>29</v>
      </c>
      <c r="N55" s="1" t="s">
        <v>21</v>
      </c>
      <c r="O55" s="1" t="str">
        <f>IF(OR(TBL_Employees[[#This Row],[Exit Date]],FALSE),"Left employees", "Current employees")</f>
        <v>Current employees</v>
      </c>
    </row>
    <row r="56" spans="1:15" x14ac:dyDescent="0.35">
      <c r="A56" t="s">
        <v>380</v>
      </c>
      <c r="B56" t="s">
        <v>496</v>
      </c>
      <c r="C56" t="s">
        <v>40</v>
      </c>
      <c r="D56" t="s">
        <v>65</v>
      </c>
      <c r="E56" t="s">
        <v>16</v>
      </c>
      <c r="F56" t="s">
        <v>17</v>
      </c>
      <c r="G56" t="s">
        <v>24</v>
      </c>
      <c r="H56">
        <v>36</v>
      </c>
      <c r="I56" s="1">
        <v>42276</v>
      </c>
      <c r="J56" s="2">
        <v>178700</v>
      </c>
      <c r="K56" s="3">
        <v>0.28999999999999998</v>
      </c>
      <c r="L56" t="s">
        <v>19</v>
      </c>
      <c r="M56" t="s">
        <v>63</v>
      </c>
      <c r="N56" s="1" t="s">
        <v>21</v>
      </c>
      <c r="O56" s="1" t="str">
        <f>IF(OR(TBL_Employees[[#This Row],[Exit Date]],FALSE),"Left employees", "Current employees")</f>
        <v>Current employees</v>
      </c>
    </row>
    <row r="57" spans="1:15" x14ac:dyDescent="0.35">
      <c r="A57" t="s">
        <v>497</v>
      </c>
      <c r="B57" t="s">
        <v>498</v>
      </c>
      <c r="C57" t="s">
        <v>129</v>
      </c>
      <c r="D57" t="s">
        <v>31</v>
      </c>
      <c r="E57" t="s">
        <v>16</v>
      </c>
      <c r="F57" t="s">
        <v>17</v>
      </c>
      <c r="G57" t="s">
        <v>18</v>
      </c>
      <c r="H57">
        <v>33</v>
      </c>
      <c r="I57" s="1">
        <v>43456</v>
      </c>
      <c r="J57" s="2">
        <v>83990</v>
      </c>
      <c r="K57" s="3">
        <v>0</v>
      </c>
      <c r="L57" t="s">
        <v>19</v>
      </c>
      <c r="M57" t="s">
        <v>20</v>
      </c>
      <c r="N57" s="1" t="s">
        <v>21</v>
      </c>
      <c r="O57" s="1" t="str">
        <f>IF(OR(TBL_Employees[[#This Row],[Exit Date]],FALSE),"Left employees", "Current employees")</f>
        <v>Current employees</v>
      </c>
    </row>
    <row r="58" spans="1:15" x14ac:dyDescent="0.35">
      <c r="A58" t="s">
        <v>499</v>
      </c>
      <c r="B58" t="s">
        <v>500</v>
      </c>
      <c r="C58" t="s">
        <v>59</v>
      </c>
      <c r="D58" t="s">
        <v>31</v>
      </c>
      <c r="E58" t="s">
        <v>32</v>
      </c>
      <c r="F58" t="s">
        <v>17</v>
      </c>
      <c r="G58" t="s">
        <v>18</v>
      </c>
      <c r="H58">
        <v>52</v>
      </c>
      <c r="I58" s="1">
        <v>38696</v>
      </c>
      <c r="J58" s="2">
        <v>102043</v>
      </c>
      <c r="K58" s="3">
        <v>0</v>
      </c>
      <c r="L58" t="s">
        <v>19</v>
      </c>
      <c r="M58" t="s">
        <v>20</v>
      </c>
      <c r="N58" s="1" t="s">
        <v>21</v>
      </c>
      <c r="O58" s="1" t="str">
        <f>IF(OR(TBL_Employees[[#This Row],[Exit Date]],FALSE),"Left employees", "Current employees")</f>
        <v>Current employees</v>
      </c>
    </row>
    <row r="59" spans="1:15" x14ac:dyDescent="0.35">
      <c r="A59" t="s">
        <v>501</v>
      </c>
      <c r="B59" t="s">
        <v>502</v>
      </c>
      <c r="C59" t="s">
        <v>69</v>
      </c>
      <c r="D59" t="s">
        <v>31</v>
      </c>
      <c r="E59" t="s">
        <v>36</v>
      </c>
      <c r="F59" t="s">
        <v>17</v>
      </c>
      <c r="G59" t="s">
        <v>24</v>
      </c>
      <c r="H59">
        <v>46</v>
      </c>
      <c r="I59" s="1">
        <v>37041</v>
      </c>
      <c r="J59" s="2">
        <v>90678</v>
      </c>
      <c r="K59" s="3">
        <v>0</v>
      </c>
      <c r="L59" t="s">
        <v>19</v>
      </c>
      <c r="M59" t="s">
        <v>29</v>
      </c>
      <c r="N59" s="1" t="s">
        <v>21</v>
      </c>
      <c r="O59" s="1" t="str">
        <f>IF(OR(TBL_Employees[[#This Row],[Exit Date]],FALSE),"Left employees", "Current employees")</f>
        <v>Current employees</v>
      </c>
    </row>
    <row r="60" spans="1:15" x14ac:dyDescent="0.35">
      <c r="A60" t="s">
        <v>503</v>
      </c>
      <c r="B60" t="s">
        <v>504</v>
      </c>
      <c r="C60" t="s">
        <v>83</v>
      </c>
      <c r="D60" t="s">
        <v>23</v>
      </c>
      <c r="E60" t="s">
        <v>36</v>
      </c>
      <c r="F60" t="s">
        <v>17</v>
      </c>
      <c r="G60" t="s">
        <v>47</v>
      </c>
      <c r="H60">
        <v>46</v>
      </c>
      <c r="I60" s="1">
        <v>39681</v>
      </c>
      <c r="J60" s="2">
        <v>59067</v>
      </c>
      <c r="K60" s="3">
        <v>0</v>
      </c>
      <c r="L60" t="s">
        <v>19</v>
      </c>
      <c r="M60" t="s">
        <v>45</v>
      </c>
      <c r="N60" s="1" t="s">
        <v>21</v>
      </c>
      <c r="O60" s="1" t="str">
        <f>IF(OR(TBL_Employees[[#This Row],[Exit Date]],FALSE),"Left employees", "Current employees")</f>
        <v>Current employees</v>
      </c>
    </row>
    <row r="61" spans="1:15" x14ac:dyDescent="0.35">
      <c r="A61" t="s">
        <v>505</v>
      </c>
      <c r="B61" t="s">
        <v>506</v>
      </c>
      <c r="C61" t="s">
        <v>61</v>
      </c>
      <c r="D61" t="s">
        <v>43</v>
      </c>
      <c r="E61" t="s">
        <v>16</v>
      </c>
      <c r="F61" t="s">
        <v>28</v>
      </c>
      <c r="G61" t="s">
        <v>24</v>
      </c>
      <c r="H61">
        <v>45</v>
      </c>
      <c r="I61" s="1">
        <v>44266</v>
      </c>
      <c r="J61" s="2">
        <v>135062</v>
      </c>
      <c r="K61" s="3">
        <v>0.15</v>
      </c>
      <c r="L61" t="s">
        <v>33</v>
      </c>
      <c r="M61" t="s">
        <v>34</v>
      </c>
      <c r="N61" s="1" t="s">
        <v>21</v>
      </c>
      <c r="O61" s="1" t="str">
        <f>IF(OR(TBL_Employees[[#This Row],[Exit Date]],FALSE),"Left employees", "Current employees")</f>
        <v>Current employees</v>
      </c>
    </row>
    <row r="62" spans="1:15" x14ac:dyDescent="0.35">
      <c r="A62" t="s">
        <v>203</v>
      </c>
      <c r="B62" t="s">
        <v>507</v>
      </c>
      <c r="C62" t="s">
        <v>61</v>
      </c>
      <c r="D62" t="s">
        <v>27</v>
      </c>
      <c r="E62" t="s">
        <v>32</v>
      </c>
      <c r="F62" t="s">
        <v>17</v>
      </c>
      <c r="G62" t="s">
        <v>51</v>
      </c>
      <c r="H62">
        <v>55</v>
      </c>
      <c r="I62" s="1">
        <v>38945</v>
      </c>
      <c r="J62" s="2">
        <v>159044</v>
      </c>
      <c r="K62" s="3">
        <v>0.1</v>
      </c>
      <c r="L62" t="s">
        <v>52</v>
      </c>
      <c r="M62" t="s">
        <v>81</v>
      </c>
      <c r="N62" s="1" t="s">
        <v>21</v>
      </c>
      <c r="O62" s="1" t="str">
        <f>IF(OR(TBL_Employees[[#This Row],[Exit Date]],FALSE),"Left employees", "Current employees")</f>
        <v>Current employees</v>
      </c>
    </row>
    <row r="63" spans="1:15" x14ac:dyDescent="0.35">
      <c r="A63" t="s">
        <v>170</v>
      </c>
      <c r="B63" t="s">
        <v>508</v>
      </c>
      <c r="C63" t="s">
        <v>42</v>
      </c>
      <c r="D63" t="s">
        <v>65</v>
      </c>
      <c r="E63" t="s">
        <v>36</v>
      </c>
      <c r="F63" t="s">
        <v>17</v>
      </c>
      <c r="G63" t="s">
        <v>51</v>
      </c>
      <c r="H63">
        <v>44</v>
      </c>
      <c r="I63" s="1">
        <v>43467</v>
      </c>
      <c r="J63" s="2">
        <v>74691</v>
      </c>
      <c r="K63" s="3">
        <v>0</v>
      </c>
      <c r="L63" t="s">
        <v>52</v>
      </c>
      <c r="M63" t="s">
        <v>81</v>
      </c>
      <c r="N63" s="1">
        <v>44020</v>
      </c>
      <c r="O63" s="1" t="str">
        <f>IF(OR(TBL_Employees[[#This Row],[Exit Date]],FALSE),"Left employees", "Current employees")</f>
        <v>Left employees</v>
      </c>
    </row>
    <row r="64" spans="1:15" x14ac:dyDescent="0.35">
      <c r="A64" t="s">
        <v>509</v>
      </c>
      <c r="B64" t="s">
        <v>510</v>
      </c>
      <c r="C64" t="s">
        <v>97</v>
      </c>
      <c r="D64" t="s">
        <v>31</v>
      </c>
      <c r="E64" t="s">
        <v>32</v>
      </c>
      <c r="F64" t="s">
        <v>17</v>
      </c>
      <c r="G64" t="s">
        <v>51</v>
      </c>
      <c r="H64">
        <v>44</v>
      </c>
      <c r="I64" s="1">
        <v>39800</v>
      </c>
      <c r="J64" s="2">
        <v>92753</v>
      </c>
      <c r="K64" s="3">
        <v>0.13</v>
      </c>
      <c r="L64" t="s">
        <v>19</v>
      </c>
      <c r="M64" t="s">
        <v>25</v>
      </c>
      <c r="N64" s="1">
        <v>44371</v>
      </c>
      <c r="O64" s="1" t="str">
        <f>IF(OR(TBL_Employees[[#This Row],[Exit Date]],FALSE),"Left employees", "Current employees")</f>
        <v>Left employees</v>
      </c>
    </row>
    <row r="65" spans="1:15" x14ac:dyDescent="0.35">
      <c r="A65" t="s">
        <v>315</v>
      </c>
      <c r="B65" t="s">
        <v>511</v>
      </c>
      <c r="C65" t="s">
        <v>14</v>
      </c>
      <c r="D65" t="s">
        <v>23</v>
      </c>
      <c r="E65" t="s">
        <v>44</v>
      </c>
      <c r="F65" t="s">
        <v>28</v>
      </c>
      <c r="G65" t="s">
        <v>47</v>
      </c>
      <c r="H65">
        <v>45</v>
      </c>
      <c r="I65" s="1">
        <v>41493</v>
      </c>
      <c r="J65" s="2">
        <v>236946</v>
      </c>
      <c r="K65" s="3">
        <v>0.37</v>
      </c>
      <c r="L65" t="s">
        <v>19</v>
      </c>
      <c r="M65" t="s">
        <v>63</v>
      </c>
      <c r="N65" s="1" t="s">
        <v>21</v>
      </c>
      <c r="O65" s="1" t="str">
        <f>IF(OR(TBL_Employees[[#This Row],[Exit Date]],FALSE),"Left employees", "Current employees")</f>
        <v>Current employees</v>
      </c>
    </row>
    <row r="66" spans="1:15" x14ac:dyDescent="0.35">
      <c r="A66" t="s">
        <v>512</v>
      </c>
      <c r="B66" t="s">
        <v>513</v>
      </c>
      <c r="C66" t="s">
        <v>68</v>
      </c>
      <c r="D66" t="s">
        <v>15</v>
      </c>
      <c r="E66" t="s">
        <v>32</v>
      </c>
      <c r="F66" t="s">
        <v>17</v>
      </c>
      <c r="G66" t="s">
        <v>47</v>
      </c>
      <c r="H66">
        <v>36</v>
      </c>
      <c r="I66" s="1">
        <v>44435</v>
      </c>
      <c r="J66" s="2">
        <v>48906</v>
      </c>
      <c r="K66" s="3">
        <v>0</v>
      </c>
      <c r="L66" t="s">
        <v>19</v>
      </c>
      <c r="M66" t="s">
        <v>45</v>
      </c>
      <c r="N66" s="1" t="s">
        <v>21</v>
      </c>
      <c r="O66" s="1" t="str">
        <f>IF(OR(TBL_Employees[[#This Row],[Exit Date]],FALSE),"Left employees", "Current employees")</f>
        <v>Current employees</v>
      </c>
    </row>
    <row r="67" spans="1:15" x14ac:dyDescent="0.35">
      <c r="A67" t="s">
        <v>514</v>
      </c>
      <c r="B67" t="s">
        <v>404</v>
      </c>
      <c r="C67" t="s">
        <v>42</v>
      </c>
      <c r="D67" t="s">
        <v>50</v>
      </c>
      <c r="E67" t="s">
        <v>32</v>
      </c>
      <c r="F67" t="s">
        <v>17</v>
      </c>
      <c r="G67" t="s">
        <v>18</v>
      </c>
      <c r="H67">
        <v>38</v>
      </c>
      <c r="I67" s="1">
        <v>39474</v>
      </c>
      <c r="J67" s="2">
        <v>80024</v>
      </c>
      <c r="K67" s="3">
        <v>0</v>
      </c>
      <c r="L67" t="s">
        <v>19</v>
      </c>
      <c r="M67" t="s">
        <v>29</v>
      </c>
      <c r="N67" s="1" t="s">
        <v>21</v>
      </c>
      <c r="O67" s="1" t="str">
        <f>IF(OR(TBL_Employees[[#This Row],[Exit Date]],FALSE),"Left employees", "Current employees")</f>
        <v>Current employees</v>
      </c>
    </row>
    <row r="68" spans="1:15" x14ac:dyDescent="0.35">
      <c r="A68" t="s">
        <v>375</v>
      </c>
      <c r="B68" t="s">
        <v>515</v>
      </c>
      <c r="C68" t="s">
        <v>22</v>
      </c>
      <c r="D68" t="s">
        <v>23</v>
      </c>
      <c r="E68" t="s">
        <v>44</v>
      </c>
      <c r="F68" t="s">
        <v>17</v>
      </c>
      <c r="G68" t="s">
        <v>18</v>
      </c>
      <c r="H68">
        <v>41</v>
      </c>
      <c r="I68" s="1">
        <v>40109</v>
      </c>
      <c r="J68" s="2">
        <v>54415</v>
      </c>
      <c r="K68" s="3">
        <v>0</v>
      </c>
      <c r="L68" t="s">
        <v>19</v>
      </c>
      <c r="M68" t="s">
        <v>63</v>
      </c>
      <c r="N68" s="1">
        <v>41661</v>
      </c>
      <c r="O68" s="1" t="str">
        <f>IF(OR(TBL_Employees[[#This Row],[Exit Date]],FALSE),"Left employees", "Current employees")</f>
        <v>Left employees</v>
      </c>
    </row>
    <row r="69" spans="1:15" x14ac:dyDescent="0.35">
      <c r="A69" t="s">
        <v>516</v>
      </c>
      <c r="B69" t="s">
        <v>517</v>
      </c>
      <c r="C69" t="s">
        <v>62</v>
      </c>
      <c r="D69" t="s">
        <v>43</v>
      </c>
      <c r="E69" t="s">
        <v>16</v>
      </c>
      <c r="F69" t="s">
        <v>17</v>
      </c>
      <c r="G69" t="s">
        <v>24</v>
      </c>
      <c r="H69">
        <v>30</v>
      </c>
      <c r="I69" s="1">
        <v>42484</v>
      </c>
      <c r="J69" s="2">
        <v>120341</v>
      </c>
      <c r="K69" s="3">
        <v>7.0000000000000007E-2</v>
      </c>
      <c r="L69" t="s">
        <v>19</v>
      </c>
      <c r="M69" t="s">
        <v>63</v>
      </c>
      <c r="N69" s="1" t="s">
        <v>21</v>
      </c>
      <c r="O69" s="1" t="str">
        <f>IF(OR(TBL_Employees[[#This Row],[Exit Date]],FALSE),"Left employees", "Current employees")</f>
        <v>Current employees</v>
      </c>
    </row>
    <row r="70" spans="1:15" x14ac:dyDescent="0.35">
      <c r="A70" t="s">
        <v>177</v>
      </c>
      <c r="B70" t="s">
        <v>518</v>
      </c>
      <c r="C70" t="s">
        <v>14</v>
      </c>
      <c r="D70" t="s">
        <v>27</v>
      </c>
      <c r="E70" t="s">
        <v>44</v>
      </c>
      <c r="F70" t="s">
        <v>17</v>
      </c>
      <c r="G70" t="s">
        <v>51</v>
      </c>
      <c r="H70">
        <v>43</v>
      </c>
      <c r="I70" s="1">
        <v>40029</v>
      </c>
      <c r="J70" s="2">
        <v>208415</v>
      </c>
      <c r="K70" s="3">
        <v>0.35</v>
      </c>
      <c r="L70" t="s">
        <v>19</v>
      </c>
      <c r="M70" t="s">
        <v>63</v>
      </c>
      <c r="N70" s="1" t="s">
        <v>21</v>
      </c>
      <c r="O70" s="1" t="str">
        <f>IF(OR(TBL_Employees[[#This Row],[Exit Date]],FALSE),"Left employees", "Current employees")</f>
        <v>Current employees</v>
      </c>
    </row>
    <row r="71" spans="1:15" x14ac:dyDescent="0.35">
      <c r="A71" t="s">
        <v>519</v>
      </c>
      <c r="B71" t="s">
        <v>520</v>
      </c>
      <c r="C71" t="s">
        <v>38</v>
      </c>
      <c r="D71" t="s">
        <v>27</v>
      </c>
      <c r="E71" t="s">
        <v>44</v>
      </c>
      <c r="F71" t="s">
        <v>17</v>
      </c>
      <c r="G71" t="s">
        <v>24</v>
      </c>
      <c r="H71">
        <v>32</v>
      </c>
      <c r="I71" s="1">
        <v>43835</v>
      </c>
      <c r="J71" s="2">
        <v>78844</v>
      </c>
      <c r="K71" s="3">
        <v>0</v>
      </c>
      <c r="L71" t="s">
        <v>19</v>
      </c>
      <c r="M71" t="s">
        <v>63</v>
      </c>
      <c r="N71" s="1" t="s">
        <v>21</v>
      </c>
      <c r="O71" s="1" t="str">
        <f>IF(OR(TBL_Employees[[#This Row],[Exit Date]],FALSE),"Left employees", "Current employees")</f>
        <v>Current employees</v>
      </c>
    </row>
    <row r="72" spans="1:15" x14ac:dyDescent="0.35">
      <c r="A72" t="s">
        <v>521</v>
      </c>
      <c r="B72" t="s">
        <v>522</v>
      </c>
      <c r="C72" t="s">
        <v>129</v>
      </c>
      <c r="D72" t="s">
        <v>31</v>
      </c>
      <c r="E72" t="s">
        <v>36</v>
      </c>
      <c r="F72" t="s">
        <v>28</v>
      </c>
      <c r="G72" t="s">
        <v>18</v>
      </c>
      <c r="H72">
        <v>58</v>
      </c>
      <c r="I72" s="1">
        <v>37399</v>
      </c>
      <c r="J72" s="2">
        <v>76354</v>
      </c>
      <c r="K72" s="3">
        <v>0</v>
      </c>
      <c r="L72" t="s">
        <v>19</v>
      </c>
      <c r="M72" t="s">
        <v>39</v>
      </c>
      <c r="N72" s="1">
        <v>44465</v>
      </c>
      <c r="O72" s="1" t="str">
        <f>IF(OR(TBL_Employees[[#This Row],[Exit Date]],FALSE),"Left employees", "Current employees")</f>
        <v>Left employees</v>
      </c>
    </row>
    <row r="73" spans="1:15" x14ac:dyDescent="0.35">
      <c r="A73" t="s">
        <v>391</v>
      </c>
      <c r="B73" t="s">
        <v>523</v>
      </c>
      <c r="C73" t="s">
        <v>40</v>
      </c>
      <c r="D73" t="s">
        <v>15</v>
      </c>
      <c r="E73" t="s">
        <v>44</v>
      </c>
      <c r="F73" t="s">
        <v>17</v>
      </c>
      <c r="G73" t="s">
        <v>51</v>
      </c>
      <c r="H73">
        <v>37</v>
      </c>
      <c r="I73" s="1">
        <v>43493</v>
      </c>
      <c r="J73" s="2">
        <v>165927</v>
      </c>
      <c r="K73" s="3">
        <v>0.2</v>
      </c>
      <c r="L73" t="s">
        <v>19</v>
      </c>
      <c r="M73" t="s">
        <v>39</v>
      </c>
      <c r="N73" s="1" t="s">
        <v>21</v>
      </c>
      <c r="O73" s="1" t="str">
        <f>IF(OR(TBL_Employees[[#This Row],[Exit Date]],FALSE),"Left employees", "Current employees")</f>
        <v>Current employees</v>
      </c>
    </row>
    <row r="74" spans="1:15" x14ac:dyDescent="0.35">
      <c r="A74" t="s">
        <v>524</v>
      </c>
      <c r="B74" t="s">
        <v>525</v>
      </c>
      <c r="C74" t="s">
        <v>62</v>
      </c>
      <c r="D74" t="s">
        <v>65</v>
      </c>
      <c r="E74" t="s">
        <v>44</v>
      </c>
      <c r="F74" t="s">
        <v>17</v>
      </c>
      <c r="G74" t="s">
        <v>51</v>
      </c>
      <c r="H74">
        <v>38</v>
      </c>
      <c r="I74" s="1">
        <v>44516</v>
      </c>
      <c r="J74" s="2">
        <v>109812</v>
      </c>
      <c r="K74" s="3">
        <v>0.09</v>
      </c>
      <c r="L74" t="s">
        <v>52</v>
      </c>
      <c r="M74" t="s">
        <v>81</v>
      </c>
      <c r="N74" s="1" t="s">
        <v>21</v>
      </c>
      <c r="O74" s="1" t="str">
        <f>IF(OR(TBL_Employees[[#This Row],[Exit Date]],FALSE),"Left employees", "Current employees")</f>
        <v>Current employees</v>
      </c>
    </row>
    <row r="75" spans="1:15" x14ac:dyDescent="0.35">
      <c r="A75" t="s">
        <v>526</v>
      </c>
      <c r="B75" t="s">
        <v>527</v>
      </c>
      <c r="C75" t="s">
        <v>84</v>
      </c>
      <c r="D75" t="s">
        <v>31</v>
      </c>
      <c r="E75" t="s">
        <v>32</v>
      </c>
      <c r="F75" t="s">
        <v>28</v>
      </c>
      <c r="G75" t="s">
        <v>24</v>
      </c>
      <c r="H75">
        <v>55</v>
      </c>
      <c r="I75" s="1">
        <v>36041</v>
      </c>
      <c r="J75" s="2">
        <v>86299</v>
      </c>
      <c r="K75" s="3">
        <v>0</v>
      </c>
      <c r="L75" t="s">
        <v>19</v>
      </c>
      <c r="M75" t="s">
        <v>63</v>
      </c>
      <c r="N75" s="1" t="s">
        <v>21</v>
      </c>
      <c r="O75" s="1" t="str">
        <f>IF(OR(TBL_Employees[[#This Row],[Exit Date]],FALSE),"Left employees", "Current employees")</f>
        <v>Current employees</v>
      </c>
    </row>
    <row r="76" spans="1:15" x14ac:dyDescent="0.35">
      <c r="A76" t="s">
        <v>182</v>
      </c>
      <c r="B76" t="s">
        <v>528</v>
      </c>
      <c r="C76" t="s">
        <v>14</v>
      </c>
      <c r="D76" t="s">
        <v>43</v>
      </c>
      <c r="E76" t="s">
        <v>16</v>
      </c>
      <c r="F76" t="s">
        <v>28</v>
      </c>
      <c r="G76" t="s">
        <v>51</v>
      </c>
      <c r="H76">
        <v>57</v>
      </c>
      <c r="I76" s="1">
        <v>37828</v>
      </c>
      <c r="J76" s="2">
        <v>206624</v>
      </c>
      <c r="K76" s="3">
        <v>0.4</v>
      </c>
      <c r="L76" t="s">
        <v>52</v>
      </c>
      <c r="M76" t="s">
        <v>53</v>
      </c>
      <c r="N76" s="1" t="s">
        <v>21</v>
      </c>
      <c r="O76" s="1" t="str">
        <f>IF(OR(TBL_Employees[[#This Row],[Exit Date]],FALSE),"Left employees", "Current employees")</f>
        <v>Current employees</v>
      </c>
    </row>
    <row r="77" spans="1:15" x14ac:dyDescent="0.35">
      <c r="A77" t="s">
        <v>169</v>
      </c>
      <c r="B77" t="s">
        <v>529</v>
      </c>
      <c r="C77" t="s">
        <v>73</v>
      </c>
      <c r="D77" t="s">
        <v>27</v>
      </c>
      <c r="E77" t="s">
        <v>36</v>
      </c>
      <c r="F77" t="s">
        <v>28</v>
      </c>
      <c r="G77" t="s">
        <v>51</v>
      </c>
      <c r="H77">
        <v>36</v>
      </c>
      <c r="I77" s="1">
        <v>40535</v>
      </c>
      <c r="J77" s="2">
        <v>53215</v>
      </c>
      <c r="K77" s="3">
        <v>0</v>
      </c>
      <c r="L77" t="s">
        <v>52</v>
      </c>
      <c r="M77" t="s">
        <v>53</v>
      </c>
      <c r="N77" s="1">
        <v>41725</v>
      </c>
      <c r="O77" s="1" t="str">
        <f>IF(OR(TBL_Employees[[#This Row],[Exit Date]],FALSE),"Left employees", "Current employees")</f>
        <v>Left employees</v>
      </c>
    </row>
    <row r="78" spans="1:15" x14ac:dyDescent="0.35">
      <c r="A78" t="s">
        <v>366</v>
      </c>
      <c r="B78" t="s">
        <v>530</v>
      </c>
      <c r="C78" t="s">
        <v>58</v>
      </c>
      <c r="D78" t="s">
        <v>31</v>
      </c>
      <c r="E78" t="s">
        <v>16</v>
      </c>
      <c r="F78" t="s">
        <v>17</v>
      </c>
      <c r="G78" t="s">
        <v>24</v>
      </c>
      <c r="H78">
        <v>30</v>
      </c>
      <c r="I78" s="1">
        <v>42877</v>
      </c>
      <c r="J78" s="2">
        <v>86858</v>
      </c>
      <c r="K78" s="3">
        <v>0</v>
      </c>
      <c r="L78" t="s">
        <v>33</v>
      </c>
      <c r="M78" t="s">
        <v>80</v>
      </c>
      <c r="N78" s="1">
        <v>43016</v>
      </c>
      <c r="O78" s="1" t="str">
        <f>IF(OR(TBL_Employees[[#This Row],[Exit Date]],FALSE),"Left employees", "Current employees")</f>
        <v>Left employees</v>
      </c>
    </row>
    <row r="79" spans="1:15" x14ac:dyDescent="0.35">
      <c r="A79" t="s">
        <v>531</v>
      </c>
      <c r="B79" t="s">
        <v>532</v>
      </c>
      <c r="C79" t="s">
        <v>56</v>
      </c>
      <c r="D79" t="s">
        <v>27</v>
      </c>
      <c r="E79" t="s">
        <v>36</v>
      </c>
      <c r="F79" t="s">
        <v>28</v>
      </c>
      <c r="G79" t="s">
        <v>24</v>
      </c>
      <c r="H79">
        <v>40</v>
      </c>
      <c r="I79" s="1">
        <v>39265</v>
      </c>
      <c r="J79" s="2">
        <v>93971</v>
      </c>
      <c r="K79" s="3">
        <v>0.08</v>
      </c>
      <c r="L79" t="s">
        <v>33</v>
      </c>
      <c r="M79" t="s">
        <v>80</v>
      </c>
      <c r="N79" s="1" t="s">
        <v>21</v>
      </c>
      <c r="O79" s="1" t="str">
        <f>IF(OR(TBL_Employees[[#This Row],[Exit Date]],FALSE),"Left employees", "Current employees")</f>
        <v>Current employees</v>
      </c>
    </row>
    <row r="80" spans="1:15" x14ac:dyDescent="0.35">
      <c r="A80" t="s">
        <v>533</v>
      </c>
      <c r="B80" t="s">
        <v>534</v>
      </c>
      <c r="C80" t="s">
        <v>64</v>
      </c>
      <c r="D80" t="s">
        <v>15</v>
      </c>
      <c r="E80" t="s">
        <v>32</v>
      </c>
      <c r="F80" t="s">
        <v>28</v>
      </c>
      <c r="G80" t="s">
        <v>51</v>
      </c>
      <c r="H80">
        <v>34</v>
      </c>
      <c r="I80" s="1">
        <v>42182</v>
      </c>
      <c r="J80" s="2">
        <v>57008</v>
      </c>
      <c r="K80" s="3">
        <v>0</v>
      </c>
      <c r="L80" t="s">
        <v>19</v>
      </c>
      <c r="M80" t="s">
        <v>39</v>
      </c>
      <c r="N80" s="1" t="s">
        <v>21</v>
      </c>
      <c r="O80" s="1" t="str">
        <f>IF(OR(TBL_Employees[[#This Row],[Exit Date]],FALSE),"Left employees", "Current employees")</f>
        <v>Current employees</v>
      </c>
    </row>
    <row r="81" spans="1:15" x14ac:dyDescent="0.35">
      <c r="A81" t="s">
        <v>535</v>
      </c>
      <c r="B81" t="s">
        <v>536</v>
      </c>
      <c r="C81" t="s">
        <v>61</v>
      </c>
      <c r="D81" t="s">
        <v>15</v>
      </c>
      <c r="E81" t="s">
        <v>36</v>
      </c>
      <c r="F81" t="s">
        <v>28</v>
      </c>
      <c r="G81" t="s">
        <v>51</v>
      </c>
      <c r="H81">
        <v>60</v>
      </c>
      <c r="I81" s="1">
        <v>42270</v>
      </c>
      <c r="J81" s="2">
        <v>141899</v>
      </c>
      <c r="K81" s="3">
        <v>0.15</v>
      </c>
      <c r="L81" t="s">
        <v>19</v>
      </c>
      <c r="M81" t="s">
        <v>39</v>
      </c>
      <c r="N81" s="1" t="s">
        <v>21</v>
      </c>
      <c r="O81" s="1" t="str">
        <f>IF(OR(TBL_Employees[[#This Row],[Exit Date]],FALSE),"Left employees", "Current employees")</f>
        <v>Current employees</v>
      </c>
    </row>
    <row r="82" spans="1:15" x14ac:dyDescent="0.35">
      <c r="A82" t="s">
        <v>537</v>
      </c>
      <c r="B82" t="s">
        <v>538</v>
      </c>
      <c r="C82" t="s">
        <v>64</v>
      </c>
      <c r="D82" t="s">
        <v>43</v>
      </c>
      <c r="E82" t="s">
        <v>32</v>
      </c>
      <c r="F82" t="s">
        <v>28</v>
      </c>
      <c r="G82" t="s">
        <v>47</v>
      </c>
      <c r="H82">
        <v>41</v>
      </c>
      <c r="I82" s="1">
        <v>42626</v>
      </c>
      <c r="J82" s="2">
        <v>64847</v>
      </c>
      <c r="K82" s="3">
        <v>0</v>
      </c>
      <c r="L82" t="s">
        <v>19</v>
      </c>
      <c r="M82" t="s">
        <v>45</v>
      </c>
      <c r="N82" s="1" t="s">
        <v>21</v>
      </c>
      <c r="O82" s="1" t="str">
        <f>IF(OR(TBL_Employees[[#This Row],[Exit Date]],FALSE),"Left employees", "Current employees")</f>
        <v>Current employees</v>
      </c>
    </row>
    <row r="83" spans="1:15" x14ac:dyDescent="0.35">
      <c r="A83" t="s">
        <v>539</v>
      </c>
      <c r="B83" t="s">
        <v>540</v>
      </c>
      <c r="C83" t="s">
        <v>97</v>
      </c>
      <c r="D83" t="s">
        <v>31</v>
      </c>
      <c r="E83" t="s">
        <v>16</v>
      </c>
      <c r="F83" t="s">
        <v>28</v>
      </c>
      <c r="G83" t="s">
        <v>18</v>
      </c>
      <c r="H83">
        <v>53</v>
      </c>
      <c r="I83" s="1">
        <v>33702</v>
      </c>
      <c r="J83" s="2">
        <v>116878</v>
      </c>
      <c r="K83" s="3">
        <v>0.11</v>
      </c>
      <c r="L83" t="s">
        <v>19</v>
      </c>
      <c r="M83" t="s">
        <v>45</v>
      </c>
      <c r="N83" s="1" t="s">
        <v>21</v>
      </c>
      <c r="O83" s="1" t="str">
        <f>IF(OR(TBL_Employees[[#This Row],[Exit Date]],FALSE),"Left employees", "Current employees")</f>
        <v>Current employees</v>
      </c>
    </row>
    <row r="84" spans="1:15" x14ac:dyDescent="0.35">
      <c r="A84" t="s">
        <v>541</v>
      </c>
      <c r="B84" t="s">
        <v>542</v>
      </c>
      <c r="C84" t="s">
        <v>30</v>
      </c>
      <c r="D84" t="s">
        <v>31</v>
      </c>
      <c r="E84" t="s">
        <v>44</v>
      </c>
      <c r="F84" t="s">
        <v>28</v>
      </c>
      <c r="G84" t="s">
        <v>47</v>
      </c>
      <c r="H84">
        <v>45</v>
      </c>
      <c r="I84" s="1">
        <v>38388</v>
      </c>
      <c r="J84" s="2">
        <v>70505</v>
      </c>
      <c r="K84" s="3">
        <v>0</v>
      </c>
      <c r="L84" t="s">
        <v>19</v>
      </c>
      <c r="M84" t="s">
        <v>25</v>
      </c>
      <c r="N84" s="1" t="s">
        <v>21</v>
      </c>
      <c r="O84" s="1" t="str">
        <f>IF(OR(TBL_Employees[[#This Row],[Exit Date]],FALSE),"Left employees", "Current employees")</f>
        <v>Current employees</v>
      </c>
    </row>
    <row r="85" spans="1:15" x14ac:dyDescent="0.35">
      <c r="A85" t="s">
        <v>543</v>
      </c>
      <c r="B85" t="s">
        <v>544</v>
      </c>
      <c r="C85" t="s">
        <v>40</v>
      </c>
      <c r="D85" t="s">
        <v>31</v>
      </c>
      <c r="E85" t="s">
        <v>16</v>
      </c>
      <c r="F85" t="s">
        <v>17</v>
      </c>
      <c r="G85" t="s">
        <v>51</v>
      </c>
      <c r="H85">
        <v>30</v>
      </c>
      <c r="I85" s="1">
        <v>42512</v>
      </c>
      <c r="J85" s="2">
        <v>189702</v>
      </c>
      <c r="K85" s="3">
        <v>0.28000000000000003</v>
      </c>
      <c r="L85" t="s">
        <v>52</v>
      </c>
      <c r="M85" t="s">
        <v>81</v>
      </c>
      <c r="N85" s="1">
        <v>44186</v>
      </c>
      <c r="O85" s="1" t="str">
        <f>IF(OR(TBL_Employees[[#This Row],[Exit Date]],FALSE),"Left employees", "Current employees")</f>
        <v>Left employees</v>
      </c>
    </row>
    <row r="86" spans="1:15" x14ac:dyDescent="0.35">
      <c r="A86" t="s">
        <v>545</v>
      </c>
      <c r="B86" t="s">
        <v>546</v>
      </c>
      <c r="C86" t="s">
        <v>40</v>
      </c>
      <c r="D86" t="s">
        <v>65</v>
      </c>
      <c r="E86" t="s">
        <v>44</v>
      </c>
      <c r="F86" t="s">
        <v>28</v>
      </c>
      <c r="G86" t="s">
        <v>18</v>
      </c>
      <c r="H86">
        <v>26</v>
      </c>
      <c r="I86" s="1">
        <v>44040</v>
      </c>
      <c r="J86" s="2">
        <v>180664</v>
      </c>
      <c r="K86" s="3">
        <v>0.27</v>
      </c>
      <c r="L86" t="s">
        <v>19</v>
      </c>
      <c r="M86" t="s">
        <v>20</v>
      </c>
      <c r="N86" s="1" t="s">
        <v>21</v>
      </c>
      <c r="O86" s="1" t="str">
        <f>IF(OR(TBL_Employees[[#This Row],[Exit Date]],FALSE),"Left employees", "Current employees")</f>
        <v>Current employees</v>
      </c>
    </row>
    <row r="87" spans="1:15" x14ac:dyDescent="0.35">
      <c r="A87" t="s">
        <v>547</v>
      </c>
      <c r="B87" t="s">
        <v>548</v>
      </c>
      <c r="C87" t="s">
        <v>83</v>
      </c>
      <c r="D87" t="s">
        <v>23</v>
      </c>
      <c r="E87" t="s">
        <v>36</v>
      </c>
      <c r="F87" t="s">
        <v>17</v>
      </c>
      <c r="G87" t="s">
        <v>24</v>
      </c>
      <c r="H87">
        <v>45</v>
      </c>
      <c r="I87" s="1">
        <v>37972</v>
      </c>
      <c r="J87" s="2">
        <v>48345</v>
      </c>
      <c r="K87" s="3">
        <v>0</v>
      </c>
      <c r="L87" t="s">
        <v>33</v>
      </c>
      <c r="M87" t="s">
        <v>34</v>
      </c>
      <c r="N87" s="1" t="s">
        <v>21</v>
      </c>
      <c r="O87" s="1" t="str">
        <f>IF(OR(TBL_Employees[[#This Row],[Exit Date]],FALSE),"Left employees", "Current employees")</f>
        <v>Current employees</v>
      </c>
    </row>
    <row r="88" spans="1:15" x14ac:dyDescent="0.35">
      <c r="A88" t="s">
        <v>549</v>
      </c>
      <c r="B88" t="s">
        <v>550</v>
      </c>
      <c r="C88" t="s">
        <v>40</v>
      </c>
      <c r="D88" t="s">
        <v>23</v>
      </c>
      <c r="E88" t="s">
        <v>36</v>
      </c>
      <c r="F88" t="s">
        <v>28</v>
      </c>
      <c r="G88" t="s">
        <v>24</v>
      </c>
      <c r="H88">
        <v>42</v>
      </c>
      <c r="I88" s="1">
        <v>41655</v>
      </c>
      <c r="J88" s="2">
        <v>152214</v>
      </c>
      <c r="K88" s="3">
        <v>0.3</v>
      </c>
      <c r="L88" t="s">
        <v>33</v>
      </c>
      <c r="M88" t="s">
        <v>60</v>
      </c>
      <c r="N88" s="1" t="s">
        <v>21</v>
      </c>
      <c r="O88" s="1" t="str">
        <f>IF(OR(TBL_Employees[[#This Row],[Exit Date]],FALSE),"Left employees", "Current employees")</f>
        <v>Current employees</v>
      </c>
    </row>
    <row r="89" spans="1:15" x14ac:dyDescent="0.35">
      <c r="A89" t="s">
        <v>308</v>
      </c>
      <c r="B89" t="s">
        <v>551</v>
      </c>
      <c r="C89" t="s">
        <v>38</v>
      </c>
      <c r="D89" t="s">
        <v>27</v>
      </c>
      <c r="E89" t="s">
        <v>32</v>
      </c>
      <c r="F89" t="s">
        <v>17</v>
      </c>
      <c r="G89" t="s">
        <v>51</v>
      </c>
      <c r="H89">
        <v>41</v>
      </c>
      <c r="I89" s="1">
        <v>39931</v>
      </c>
      <c r="J89" s="2">
        <v>69803</v>
      </c>
      <c r="K89" s="3">
        <v>0</v>
      </c>
      <c r="L89" t="s">
        <v>52</v>
      </c>
      <c r="M89" t="s">
        <v>81</v>
      </c>
      <c r="N89" s="1" t="s">
        <v>21</v>
      </c>
      <c r="O89" s="1" t="str">
        <f>IF(OR(TBL_Employees[[#This Row],[Exit Date]],FALSE),"Left employees", "Current employees")</f>
        <v>Current employees</v>
      </c>
    </row>
    <row r="90" spans="1:15" x14ac:dyDescent="0.35">
      <c r="A90" t="s">
        <v>190</v>
      </c>
      <c r="B90" t="s">
        <v>552</v>
      </c>
      <c r="C90" t="s">
        <v>71</v>
      </c>
      <c r="D90" t="s">
        <v>27</v>
      </c>
      <c r="E90" t="s">
        <v>32</v>
      </c>
      <c r="F90" t="s">
        <v>17</v>
      </c>
      <c r="G90" t="s">
        <v>51</v>
      </c>
      <c r="H90">
        <v>48</v>
      </c>
      <c r="I90" s="1">
        <v>43650</v>
      </c>
      <c r="J90" s="2">
        <v>76588</v>
      </c>
      <c r="K90" s="3">
        <v>0</v>
      </c>
      <c r="L90" t="s">
        <v>52</v>
      </c>
      <c r="M90" t="s">
        <v>66</v>
      </c>
      <c r="N90" s="1" t="s">
        <v>21</v>
      </c>
      <c r="O90" s="1" t="str">
        <f>IF(OR(TBL_Employees[[#This Row],[Exit Date]],FALSE),"Left employees", "Current employees")</f>
        <v>Current employees</v>
      </c>
    </row>
    <row r="91" spans="1:15" x14ac:dyDescent="0.35">
      <c r="A91" t="s">
        <v>553</v>
      </c>
      <c r="B91" t="s">
        <v>554</v>
      </c>
      <c r="C91" t="s">
        <v>35</v>
      </c>
      <c r="D91" t="s">
        <v>27</v>
      </c>
      <c r="E91" t="s">
        <v>36</v>
      </c>
      <c r="F91" t="s">
        <v>28</v>
      </c>
      <c r="G91" t="s">
        <v>18</v>
      </c>
      <c r="H91">
        <v>29</v>
      </c>
      <c r="I91" s="1">
        <v>43444</v>
      </c>
      <c r="J91" s="2">
        <v>84596</v>
      </c>
      <c r="K91" s="3">
        <v>0</v>
      </c>
      <c r="L91" t="s">
        <v>19</v>
      </c>
      <c r="M91" t="s">
        <v>45</v>
      </c>
      <c r="N91" s="1" t="s">
        <v>21</v>
      </c>
      <c r="O91" s="1" t="str">
        <f>IF(OR(TBL_Employees[[#This Row],[Exit Date]],FALSE),"Left employees", "Current employees")</f>
        <v>Current employees</v>
      </c>
    </row>
    <row r="92" spans="1:15" x14ac:dyDescent="0.35">
      <c r="A92" t="s">
        <v>555</v>
      </c>
      <c r="B92" t="s">
        <v>556</v>
      </c>
      <c r="C92" t="s">
        <v>62</v>
      </c>
      <c r="D92" t="s">
        <v>43</v>
      </c>
      <c r="E92" t="s">
        <v>16</v>
      </c>
      <c r="F92" t="s">
        <v>28</v>
      </c>
      <c r="G92" t="s">
        <v>24</v>
      </c>
      <c r="H92">
        <v>27</v>
      </c>
      <c r="I92" s="1">
        <v>43368</v>
      </c>
      <c r="J92" s="2">
        <v>114441</v>
      </c>
      <c r="K92" s="3">
        <v>0.1</v>
      </c>
      <c r="L92" t="s">
        <v>33</v>
      </c>
      <c r="M92" t="s">
        <v>80</v>
      </c>
      <c r="N92" s="1">
        <v>43821</v>
      </c>
      <c r="O92" s="1" t="str">
        <f>IF(OR(TBL_Employees[[#This Row],[Exit Date]],FALSE),"Left employees", "Current employees")</f>
        <v>Left employees</v>
      </c>
    </row>
    <row r="93" spans="1:15" x14ac:dyDescent="0.35">
      <c r="A93" t="s">
        <v>358</v>
      </c>
      <c r="B93" t="s">
        <v>557</v>
      </c>
      <c r="C93" t="s">
        <v>61</v>
      </c>
      <c r="D93" t="s">
        <v>15</v>
      </c>
      <c r="E93" t="s">
        <v>44</v>
      </c>
      <c r="F93" t="s">
        <v>17</v>
      </c>
      <c r="G93" t="s">
        <v>24</v>
      </c>
      <c r="H93">
        <v>33</v>
      </c>
      <c r="I93" s="1">
        <v>43211</v>
      </c>
      <c r="J93" s="2">
        <v>140402</v>
      </c>
      <c r="K93" s="3">
        <v>0.15</v>
      </c>
      <c r="L93" t="s">
        <v>33</v>
      </c>
      <c r="M93" t="s">
        <v>60</v>
      </c>
      <c r="N93" s="1" t="s">
        <v>21</v>
      </c>
      <c r="O93" s="1" t="str">
        <f>IF(OR(TBL_Employees[[#This Row],[Exit Date]],FALSE),"Left employees", "Current employees")</f>
        <v>Current employees</v>
      </c>
    </row>
    <row r="94" spans="1:15" x14ac:dyDescent="0.35">
      <c r="A94" t="s">
        <v>558</v>
      </c>
      <c r="B94" t="s">
        <v>559</v>
      </c>
      <c r="C94" t="s">
        <v>64</v>
      </c>
      <c r="D94" t="s">
        <v>15</v>
      </c>
      <c r="E94" t="s">
        <v>32</v>
      </c>
      <c r="F94" t="s">
        <v>17</v>
      </c>
      <c r="G94" t="s">
        <v>51</v>
      </c>
      <c r="H94">
        <v>26</v>
      </c>
      <c r="I94" s="1">
        <v>43578</v>
      </c>
      <c r="J94" s="2">
        <v>59817</v>
      </c>
      <c r="K94" s="3">
        <v>0</v>
      </c>
      <c r="L94" t="s">
        <v>52</v>
      </c>
      <c r="M94" t="s">
        <v>53</v>
      </c>
      <c r="N94" s="1" t="s">
        <v>21</v>
      </c>
      <c r="O94" s="1" t="str">
        <f>IF(OR(TBL_Employees[[#This Row],[Exit Date]],FALSE),"Left employees", "Current employees")</f>
        <v>Current employees</v>
      </c>
    </row>
    <row r="95" spans="1:15" x14ac:dyDescent="0.35">
      <c r="A95" t="s">
        <v>560</v>
      </c>
      <c r="B95" t="s">
        <v>561</v>
      </c>
      <c r="C95" t="s">
        <v>94</v>
      </c>
      <c r="D95" t="s">
        <v>50</v>
      </c>
      <c r="E95" t="s">
        <v>36</v>
      </c>
      <c r="F95" t="s">
        <v>28</v>
      </c>
      <c r="G95" t="s">
        <v>24</v>
      </c>
      <c r="H95">
        <v>31</v>
      </c>
      <c r="I95" s="1">
        <v>42938</v>
      </c>
      <c r="J95" s="2">
        <v>55854</v>
      </c>
      <c r="K95" s="3">
        <v>0</v>
      </c>
      <c r="L95" t="s">
        <v>19</v>
      </c>
      <c r="M95" t="s">
        <v>25</v>
      </c>
      <c r="N95" s="1" t="s">
        <v>21</v>
      </c>
      <c r="O95" s="1" t="str">
        <f>IF(OR(TBL_Employees[[#This Row],[Exit Date]],FALSE),"Left employees", "Current employees")</f>
        <v>Current employees</v>
      </c>
    </row>
    <row r="96" spans="1:15" x14ac:dyDescent="0.35">
      <c r="A96" t="s">
        <v>562</v>
      </c>
      <c r="B96" t="s">
        <v>563</v>
      </c>
      <c r="C96" t="s">
        <v>77</v>
      </c>
      <c r="D96" t="s">
        <v>23</v>
      </c>
      <c r="E96" t="s">
        <v>16</v>
      </c>
      <c r="F96" t="s">
        <v>28</v>
      </c>
      <c r="G96" t="s">
        <v>24</v>
      </c>
      <c r="H96">
        <v>53</v>
      </c>
      <c r="I96" s="1">
        <v>37576</v>
      </c>
      <c r="J96" s="2">
        <v>95998</v>
      </c>
      <c r="K96" s="3">
        <v>0</v>
      </c>
      <c r="L96" t="s">
        <v>19</v>
      </c>
      <c r="M96" t="s">
        <v>63</v>
      </c>
      <c r="N96" s="1" t="s">
        <v>21</v>
      </c>
      <c r="O96" s="1" t="str">
        <f>IF(OR(TBL_Employees[[#This Row],[Exit Date]],FALSE),"Left employees", "Current employees")</f>
        <v>Current employees</v>
      </c>
    </row>
    <row r="97" spans="1:15" x14ac:dyDescent="0.35">
      <c r="A97" t="s">
        <v>564</v>
      </c>
      <c r="B97" t="s">
        <v>565</v>
      </c>
      <c r="C97" t="s">
        <v>61</v>
      </c>
      <c r="D97" t="s">
        <v>50</v>
      </c>
      <c r="E97" t="s">
        <v>36</v>
      </c>
      <c r="F97" t="s">
        <v>17</v>
      </c>
      <c r="G97" t="s">
        <v>24</v>
      </c>
      <c r="H97">
        <v>34</v>
      </c>
      <c r="I97" s="1">
        <v>42116</v>
      </c>
      <c r="J97" s="2">
        <v>154941</v>
      </c>
      <c r="K97" s="3">
        <v>0.13</v>
      </c>
      <c r="L97" t="s">
        <v>19</v>
      </c>
      <c r="M97" t="s">
        <v>39</v>
      </c>
      <c r="N97" s="1" t="s">
        <v>21</v>
      </c>
      <c r="O97" s="1" t="str">
        <f>IF(OR(TBL_Employees[[#This Row],[Exit Date]],FALSE),"Left employees", "Current employees")</f>
        <v>Current employees</v>
      </c>
    </row>
    <row r="98" spans="1:15" x14ac:dyDescent="0.35">
      <c r="A98" t="s">
        <v>566</v>
      </c>
      <c r="B98" t="s">
        <v>496</v>
      </c>
      <c r="C98" t="s">
        <v>14</v>
      </c>
      <c r="D98" t="s">
        <v>15</v>
      </c>
      <c r="E98" t="s">
        <v>44</v>
      </c>
      <c r="F98" t="s">
        <v>17</v>
      </c>
      <c r="G98" t="s">
        <v>24</v>
      </c>
      <c r="H98">
        <v>54</v>
      </c>
      <c r="I98" s="1">
        <v>40734</v>
      </c>
      <c r="J98" s="2">
        <v>247022</v>
      </c>
      <c r="K98" s="3">
        <v>0.3</v>
      </c>
      <c r="L98" t="s">
        <v>33</v>
      </c>
      <c r="M98" t="s">
        <v>60</v>
      </c>
      <c r="N98" s="1" t="s">
        <v>21</v>
      </c>
      <c r="O98" s="1" t="str">
        <f>IF(OR(TBL_Employees[[#This Row],[Exit Date]],FALSE),"Left employees", "Current employees")</f>
        <v>Current employees</v>
      </c>
    </row>
    <row r="99" spans="1:15" x14ac:dyDescent="0.35">
      <c r="A99" t="s">
        <v>567</v>
      </c>
      <c r="B99" t="s">
        <v>568</v>
      </c>
      <c r="C99" t="s">
        <v>71</v>
      </c>
      <c r="D99" t="s">
        <v>27</v>
      </c>
      <c r="E99" t="s">
        <v>36</v>
      </c>
      <c r="F99" t="s">
        <v>17</v>
      </c>
      <c r="G99" t="s">
        <v>51</v>
      </c>
      <c r="H99">
        <v>32</v>
      </c>
      <c r="I99" s="1">
        <v>44474</v>
      </c>
      <c r="J99" s="2">
        <v>88072</v>
      </c>
      <c r="K99" s="3">
        <v>0</v>
      </c>
      <c r="L99" t="s">
        <v>52</v>
      </c>
      <c r="M99" t="s">
        <v>53</v>
      </c>
      <c r="N99" s="1" t="s">
        <v>21</v>
      </c>
      <c r="O99" s="1" t="str">
        <f>IF(OR(TBL_Employees[[#This Row],[Exit Date]],FALSE),"Left employees", "Current employees")</f>
        <v>Current employees</v>
      </c>
    </row>
    <row r="100" spans="1:15" x14ac:dyDescent="0.35">
      <c r="A100" t="s">
        <v>241</v>
      </c>
      <c r="B100" t="s">
        <v>569</v>
      </c>
      <c r="C100" t="s">
        <v>56</v>
      </c>
      <c r="D100" t="s">
        <v>27</v>
      </c>
      <c r="E100" t="s">
        <v>16</v>
      </c>
      <c r="F100" t="s">
        <v>28</v>
      </c>
      <c r="G100" t="s">
        <v>24</v>
      </c>
      <c r="H100">
        <v>28</v>
      </c>
      <c r="I100" s="1">
        <v>43977</v>
      </c>
      <c r="J100" s="2">
        <v>67925</v>
      </c>
      <c r="K100" s="3">
        <v>0.08</v>
      </c>
      <c r="L100" t="s">
        <v>33</v>
      </c>
      <c r="M100" t="s">
        <v>74</v>
      </c>
      <c r="N100" s="1" t="s">
        <v>21</v>
      </c>
      <c r="O100" s="1" t="str">
        <f>IF(OR(TBL_Employees[[#This Row],[Exit Date]],FALSE),"Left employees", "Current employees")</f>
        <v>Current employees</v>
      </c>
    </row>
    <row r="101" spans="1:15" x14ac:dyDescent="0.35">
      <c r="A101" t="s">
        <v>570</v>
      </c>
      <c r="B101" t="s">
        <v>571</v>
      </c>
      <c r="C101" t="s">
        <v>14</v>
      </c>
      <c r="D101" t="s">
        <v>50</v>
      </c>
      <c r="E101" t="s">
        <v>36</v>
      </c>
      <c r="F101" t="s">
        <v>17</v>
      </c>
      <c r="G101" t="s">
        <v>18</v>
      </c>
      <c r="H101">
        <v>31</v>
      </c>
      <c r="I101" s="1">
        <v>44063</v>
      </c>
      <c r="J101" s="2">
        <v>219693</v>
      </c>
      <c r="K101" s="3">
        <v>0.3</v>
      </c>
      <c r="L101" t="s">
        <v>19</v>
      </c>
      <c r="M101" t="s">
        <v>25</v>
      </c>
      <c r="N101" s="1" t="s">
        <v>21</v>
      </c>
      <c r="O101" s="1" t="str">
        <f>IF(OR(TBL_Employees[[#This Row],[Exit Date]],FALSE),"Left employees", "Current employees")</f>
        <v>Current employees</v>
      </c>
    </row>
    <row r="102" spans="1:15" x14ac:dyDescent="0.35">
      <c r="A102" t="s">
        <v>572</v>
      </c>
      <c r="B102" t="s">
        <v>573</v>
      </c>
      <c r="C102" t="s">
        <v>58</v>
      </c>
      <c r="D102" t="s">
        <v>31</v>
      </c>
      <c r="E102" t="s">
        <v>16</v>
      </c>
      <c r="F102" t="s">
        <v>17</v>
      </c>
      <c r="G102" t="s">
        <v>18</v>
      </c>
      <c r="H102">
        <v>45</v>
      </c>
      <c r="I102" s="1">
        <v>41386</v>
      </c>
      <c r="J102" s="2">
        <v>61773</v>
      </c>
      <c r="K102" s="3">
        <v>0</v>
      </c>
      <c r="L102" t="s">
        <v>19</v>
      </c>
      <c r="M102" t="s">
        <v>63</v>
      </c>
      <c r="N102" s="1" t="s">
        <v>21</v>
      </c>
      <c r="O102" s="1" t="str">
        <f>IF(OR(TBL_Employees[[#This Row],[Exit Date]],FALSE),"Left employees", "Current employees")</f>
        <v>Current employees</v>
      </c>
    </row>
    <row r="103" spans="1:15" x14ac:dyDescent="0.35">
      <c r="A103" t="s">
        <v>400</v>
      </c>
      <c r="B103" t="s">
        <v>574</v>
      </c>
      <c r="C103" t="s">
        <v>56</v>
      </c>
      <c r="D103" t="s">
        <v>27</v>
      </c>
      <c r="E103" t="s">
        <v>44</v>
      </c>
      <c r="F103" t="s">
        <v>17</v>
      </c>
      <c r="G103" t="s">
        <v>24</v>
      </c>
      <c r="H103">
        <v>48</v>
      </c>
      <c r="I103" s="1">
        <v>39091</v>
      </c>
      <c r="J103" s="2">
        <v>74546</v>
      </c>
      <c r="K103" s="3">
        <v>0.09</v>
      </c>
      <c r="L103" t="s">
        <v>19</v>
      </c>
      <c r="M103" t="s">
        <v>63</v>
      </c>
      <c r="N103" s="1" t="s">
        <v>21</v>
      </c>
      <c r="O103" s="1" t="str">
        <f>IF(OR(TBL_Employees[[#This Row],[Exit Date]],FALSE),"Left employees", "Current employees")</f>
        <v>Current employees</v>
      </c>
    </row>
    <row r="104" spans="1:15" x14ac:dyDescent="0.35">
      <c r="A104" t="s">
        <v>291</v>
      </c>
      <c r="B104" t="s">
        <v>575</v>
      </c>
      <c r="C104" t="s">
        <v>86</v>
      </c>
      <c r="D104" t="s">
        <v>31</v>
      </c>
      <c r="E104" t="s">
        <v>44</v>
      </c>
      <c r="F104" t="s">
        <v>28</v>
      </c>
      <c r="G104" t="s">
        <v>47</v>
      </c>
      <c r="H104">
        <v>56</v>
      </c>
      <c r="I104" s="1">
        <v>42031</v>
      </c>
      <c r="J104" s="2">
        <v>62575</v>
      </c>
      <c r="K104" s="3">
        <v>0</v>
      </c>
      <c r="L104" t="s">
        <v>19</v>
      </c>
      <c r="M104" t="s">
        <v>45</v>
      </c>
      <c r="N104" s="1" t="s">
        <v>21</v>
      </c>
      <c r="O104" s="1" t="str">
        <f>IF(OR(TBL_Employees[[#This Row],[Exit Date]],FALSE),"Left employees", "Current employees")</f>
        <v>Current employees</v>
      </c>
    </row>
    <row r="105" spans="1:15" x14ac:dyDescent="0.35">
      <c r="A105" t="s">
        <v>576</v>
      </c>
      <c r="B105" t="s">
        <v>577</v>
      </c>
      <c r="C105" t="s">
        <v>40</v>
      </c>
      <c r="D105" t="s">
        <v>23</v>
      </c>
      <c r="E105" t="s">
        <v>32</v>
      </c>
      <c r="F105" t="s">
        <v>17</v>
      </c>
      <c r="G105" t="s">
        <v>24</v>
      </c>
      <c r="H105">
        <v>27</v>
      </c>
      <c r="I105" s="1">
        <v>44250</v>
      </c>
      <c r="J105" s="2">
        <v>199041</v>
      </c>
      <c r="K105" s="3">
        <v>0.16</v>
      </c>
      <c r="L105" t="s">
        <v>33</v>
      </c>
      <c r="M105" t="s">
        <v>60</v>
      </c>
      <c r="N105" s="1" t="s">
        <v>21</v>
      </c>
      <c r="O105" s="1" t="str">
        <f>IF(OR(TBL_Employees[[#This Row],[Exit Date]],FALSE),"Left employees", "Current employees")</f>
        <v>Current employees</v>
      </c>
    </row>
    <row r="106" spans="1:15" x14ac:dyDescent="0.35">
      <c r="A106" t="s">
        <v>578</v>
      </c>
      <c r="B106" t="s">
        <v>579</v>
      </c>
      <c r="C106" t="s">
        <v>64</v>
      </c>
      <c r="D106" t="s">
        <v>65</v>
      </c>
      <c r="E106" t="s">
        <v>44</v>
      </c>
      <c r="F106" t="s">
        <v>28</v>
      </c>
      <c r="G106" t="s">
        <v>18</v>
      </c>
      <c r="H106">
        <v>55</v>
      </c>
      <c r="I106" s="1">
        <v>39177</v>
      </c>
      <c r="J106" s="2">
        <v>52310</v>
      </c>
      <c r="K106" s="3">
        <v>0</v>
      </c>
      <c r="L106" t="s">
        <v>19</v>
      </c>
      <c r="M106" t="s">
        <v>45</v>
      </c>
      <c r="N106" s="1">
        <v>43385</v>
      </c>
      <c r="O106" s="1" t="str">
        <f>IF(OR(TBL_Employees[[#This Row],[Exit Date]],FALSE),"Left employees", "Current employees")</f>
        <v>Left employees</v>
      </c>
    </row>
    <row r="107" spans="1:15" x14ac:dyDescent="0.35">
      <c r="A107" t="s">
        <v>580</v>
      </c>
      <c r="B107" t="s">
        <v>581</v>
      </c>
      <c r="C107" t="s">
        <v>61</v>
      </c>
      <c r="D107" t="s">
        <v>15</v>
      </c>
      <c r="E107" t="s">
        <v>44</v>
      </c>
      <c r="F107" t="s">
        <v>28</v>
      </c>
      <c r="G107" t="s">
        <v>47</v>
      </c>
      <c r="H107">
        <v>64</v>
      </c>
      <c r="I107" s="1">
        <v>41454</v>
      </c>
      <c r="J107" s="2">
        <v>159571</v>
      </c>
      <c r="K107" s="3">
        <v>0.1</v>
      </c>
      <c r="L107" t="s">
        <v>19</v>
      </c>
      <c r="M107" t="s">
        <v>29</v>
      </c>
      <c r="N107" s="1" t="s">
        <v>21</v>
      </c>
      <c r="O107" s="1" t="str">
        <f>IF(OR(TBL_Employees[[#This Row],[Exit Date]],FALSE),"Left employees", "Current employees")</f>
        <v>Current employees</v>
      </c>
    </row>
    <row r="108" spans="1:15" x14ac:dyDescent="0.35">
      <c r="A108" t="s">
        <v>582</v>
      </c>
      <c r="B108" t="s">
        <v>583</v>
      </c>
      <c r="C108" t="s">
        <v>129</v>
      </c>
      <c r="D108" t="s">
        <v>31</v>
      </c>
      <c r="E108" t="s">
        <v>16</v>
      </c>
      <c r="F108" t="s">
        <v>17</v>
      </c>
      <c r="G108" t="s">
        <v>51</v>
      </c>
      <c r="H108">
        <v>50</v>
      </c>
      <c r="I108" s="1">
        <v>35726</v>
      </c>
      <c r="J108" s="2">
        <v>91763</v>
      </c>
      <c r="K108" s="3">
        <v>0</v>
      </c>
      <c r="L108" t="s">
        <v>19</v>
      </c>
      <c r="M108" t="s">
        <v>25</v>
      </c>
      <c r="N108" s="1" t="s">
        <v>21</v>
      </c>
      <c r="O108" s="1" t="str">
        <f>IF(OR(TBL_Employees[[#This Row],[Exit Date]],FALSE),"Left employees", "Current employees")</f>
        <v>Current employees</v>
      </c>
    </row>
    <row r="109" spans="1:15" x14ac:dyDescent="0.35">
      <c r="A109" t="s">
        <v>292</v>
      </c>
      <c r="B109" t="s">
        <v>584</v>
      </c>
      <c r="C109" t="s">
        <v>86</v>
      </c>
      <c r="D109" t="s">
        <v>31</v>
      </c>
      <c r="E109" t="s">
        <v>32</v>
      </c>
      <c r="F109" t="s">
        <v>17</v>
      </c>
      <c r="G109" t="s">
        <v>18</v>
      </c>
      <c r="H109">
        <v>51</v>
      </c>
      <c r="I109" s="1">
        <v>35055</v>
      </c>
      <c r="J109" s="2">
        <v>96475</v>
      </c>
      <c r="K109" s="3">
        <v>0</v>
      </c>
      <c r="L109" t="s">
        <v>19</v>
      </c>
      <c r="M109" t="s">
        <v>25</v>
      </c>
      <c r="N109" s="1" t="s">
        <v>21</v>
      </c>
      <c r="O109" s="1" t="str">
        <f>IF(OR(TBL_Employees[[#This Row],[Exit Date]],FALSE),"Left employees", "Current employees")</f>
        <v>Current employees</v>
      </c>
    </row>
    <row r="110" spans="1:15" x14ac:dyDescent="0.35">
      <c r="A110" t="s">
        <v>585</v>
      </c>
      <c r="B110" t="s">
        <v>586</v>
      </c>
      <c r="C110" t="s">
        <v>84</v>
      </c>
      <c r="D110" t="s">
        <v>31</v>
      </c>
      <c r="E110" t="s">
        <v>36</v>
      </c>
      <c r="F110" t="s">
        <v>28</v>
      </c>
      <c r="G110" t="s">
        <v>18</v>
      </c>
      <c r="H110">
        <v>36</v>
      </c>
      <c r="I110" s="1">
        <v>42706</v>
      </c>
      <c r="J110" s="2">
        <v>113781</v>
      </c>
      <c r="K110" s="3">
        <v>0</v>
      </c>
      <c r="L110" t="s">
        <v>19</v>
      </c>
      <c r="M110" t="s">
        <v>29</v>
      </c>
      <c r="N110" s="1" t="s">
        <v>21</v>
      </c>
      <c r="O110" s="1" t="str">
        <f>IF(OR(TBL_Employees[[#This Row],[Exit Date]],FALSE),"Left employees", "Current employees")</f>
        <v>Current employees</v>
      </c>
    </row>
    <row r="111" spans="1:15" x14ac:dyDescent="0.35">
      <c r="A111" t="s">
        <v>155</v>
      </c>
      <c r="B111" t="s">
        <v>587</v>
      </c>
      <c r="C111" t="s">
        <v>40</v>
      </c>
      <c r="D111" t="s">
        <v>15</v>
      </c>
      <c r="E111" t="s">
        <v>16</v>
      </c>
      <c r="F111" t="s">
        <v>28</v>
      </c>
      <c r="G111" t="s">
        <v>24</v>
      </c>
      <c r="H111">
        <v>42</v>
      </c>
      <c r="I111" s="1">
        <v>37636</v>
      </c>
      <c r="J111" s="2">
        <v>166599</v>
      </c>
      <c r="K111" s="3">
        <v>0.26</v>
      </c>
      <c r="L111" t="s">
        <v>19</v>
      </c>
      <c r="M111" t="s">
        <v>63</v>
      </c>
      <c r="N111" s="1" t="s">
        <v>21</v>
      </c>
      <c r="O111" s="1" t="str">
        <f>IF(OR(TBL_Employees[[#This Row],[Exit Date]],FALSE),"Left employees", "Current employees")</f>
        <v>Current employees</v>
      </c>
    </row>
    <row r="112" spans="1:15" x14ac:dyDescent="0.35">
      <c r="A112" t="s">
        <v>228</v>
      </c>
      <c r="B112" t="s">
        <v>588</v>
      </c>
      <c r="C112" t="s">
        <v>49</v>
      </c>
      <c r="D112" t="s">
        <v>50</v>
      </c>
      <c r="E112" t="s">
        <v>32</v>
      </c>
      <c r="F112" t="s">
        <v>17</v>
      </c>
      <c r="G112" t="s">
        <v>24</v>
      </c>
      <c r="H112">
        <v>41</v>
      </c>
      <c r="I112" s="1">
        <v>38398</v>
      </c>
      <c r="J112" s="2">
        <v>95372</v>
      </c>
      <c r="K112" s="3">
        <v>0</v>
      </c>
      <c r="L112" t="s">
        <v>33</v>
      </c>
      <c r="M112" t="s">
        <v>74</v>
      </c>
      <c r="N112" s="1" t="s">
        <v>21</v>
      </c>
      <c r="O112" s="1" t="str">
        <f>IF(OR(TBL_Employees[[#This Row],[Exit Date]],FALSE),"Left employees", "Current employees")</f>
        <v>Current employees</v>
      </c>
    </row>
    <row r="113" spans="1:15" x14ac:dyDescent="0.35">
      <c r="A113" t="s">
        <v>589</v>
      </c>
      <c r="B113" t="s">
        <v>590</v>
      </c>
      <c r="C113" t="s">
        <v>40</v>
      </c>
      <c r="D113" t="s">
        <v>27</v>
      </c>
      <c r="E113" t="s">
        <v>16</v>
      </c>
      <c r="F113" t="s">
        <v>17</v>
      </c>
      <c r="G113" t="s">
        <v>24</v>
      </c>
      <c r="H113">
        <v>29</v>
      </c>
      <c r="I113" s="1">
        <v>44052</v>
      </c>
      <c r="J113" s="2">
        <v>161203</v>
      </c>
      <c r="K113" s="3">
        <v>0.15</v>
      </c>
      <c r="L113" t="s">
        <v>33</v>
      </c>
      <c r="M113" t="s">
        <v>34</v>
      </c>
      <c r="N113" s="1" t="s">
        <v>21</v>
      </c>
      <c r="O113" s="1" t="str">
        <f>IF(OR(TBL_Employees[[#This Row],[Exit Date]],FALSE),"Left employees", "Current employees")</f>
        <v>Current employees</v>
      </c>
    </row>
    <row r="114" spans="1:15" x14ac:dyDescent="0.35">
      <c r="A114" t="s">
        <v>591</v>
      </c>
      <c r="B114" t="s">
        <v>592</v>
      </c>
      <c r="C114" t="s">
        <v>98</v>
      </c>
      <c r="D114" t="s">
        <v>27</v>
      </c>
      <c r="E114" t="s">
        <v>36</v>
      </c>
      <c r="F114" t="s">
        <v>17</v>
      </c>
      <c r="G114" t="s">
        <v>18</v>
      </c>
      <c r="H114">
        <v>44</v>
      </c>
      <c r="I114" s="1">
        <v>39064</v>
      </c>
      <c r="J114" s="2">
        <v>74738</v>
      </c>
      <c r="K114" s="3">
        <v>0</v>
      </c>
      <c r="L114" t="s">
        <v>19</v>
      </c>
      <c r="M114" t="s">
        <v>45</v>
      </c>
      <c r="N114" s="1" t="s">
        <v>21</v>
      </c>
      <c r="O114" s="1" t="str">
        <f>IF(OR(TBL_Employees[[#This Row],[Exit Date]],FALSE),"Left employees", "Current employees")</f>
        <v>Current employees</v>
      </c>
    </row>
    <row r="115" spans="1:15" x14ac:dyDescent="0.35">
      <c r="A115" t="s">
        <v>236</v>
      </c>
      <c r="B115" t="s">
        <v>593</v>
      </c>
      <c r="C115" t="s">
        <v>40</v>
      </c>
      <c r="D115" t="s">
        <v>50</v>
      </c>
      <c r="E115" t="s">
        <v>16</v>
      </c>
      <c r="F115" t="s">
        <v>17</v>
      </c>
      <c r="G115" t="s">
        <v>24</v>
      </c>
      <c r="H115">
        <v>41</v>
      </c>
      <c r="I115" s="1">
        <v>43322</v>
      </c>
      <c r="J115" s="2">
        <v>171173</v>
      </c>
      <c r="K115" s="3">
        <v>0.21</v>
      </c>
      <c r="L115" t="s">
        <v>19</v>
      </c>
      <c r="M115" t="s">
        <v>29</v>
      </c>
      <c r="N115" s="1" t="s">
        <v>21</v>
      </c>
      <c r="O115" s="1" t="str">
        <f>IF(OR(TBL_Employees[[#This Row],[Exit Date]],FALSE),"Left employees", "Current employees")</f>
        <v>Current employees</v>
      </c>
    </row>
    <row r="116" spans="1:15" x14ac:dyDescent="0.35">
      <c r="A116" t="s">
        <v>594</v>
      </c>
      <c r="B116" t="s">
        <v>595</v>
      </c>
      <c r="C116" t="s">
        <v>14</v>
      </c>
      <c r="D116" t="s">
        <v>50</v>
      </c>
      <c r="E116" t="s">
        <v>32</v>
      </c>
      <c r="F116" t="s">
        <v>28</v>
      </c>
      <c r="G116" t="s">
        <v>51</v>
      </c>
      <c r="H116">
        <v>61</v>
      </c>
      <c r="I116" s="1">
        <v>43732</v>
      </c>
      <c r="J116" s="2">
        <v>201464</v>
      </c>
      <c r="K116" s="3">
        <v>0.37</v>
      </c>
      <c r="L116" t="s">
        <v>19</v>
      </c>
      <c r="M116" t="s">
        <v>20</v>
      </c>
      <c r="N116" s="1" t="s">
        <v>21</v>
      </c>
      <c r="O116" s="1" t="str">
        <f>IF(OR(TBL_Employees[[#This Row],[Exit Date]],FALSE),"Left employees", "Current employees")</f>
        <v>Current employees</v>
      </c>
    </row>
    <row r="117" spans="1:15" x14ac:dyDescent="0.35">
      <c r="A117" t="s">
        <v>596</v>
      </c>
      <c r="B117" t="s">
        <v>597</v>
      </c>
      <c r="C117" t="s">
        <v>40</v>
      </c>
      <c r="D117" t="s">
        <v>23</v>
      </c>
      <c r="E117" t="s">
        <v>32</v>
      </c>
      <c r="F117" t="s">
        <v>28</v>
      </c>
      <c r="G117" t="s">
        <v>18</v>
      </c>
      <c r="H117">
        <v>50</v>
      </c>
      <c r="I117" s="1">
        <v>35998</v>
      </c>
      <c r="J117" s="2">
        <v>174895</v>
      </c>
      <c r="K117" s="3">
        <v>0.15</v>
      </c>
      <c r="L117" t="s">
        <v>19</v>
      </c>
      <c r="M117" t="s">
        <v>20</v>
      </c>
      <c r="N117" s="1" t="s">
        <v>21</v>
      </c>
      <c r="O117" s="1" t="str">
        <f>IF(OR(TBL_Employees[[#This Row],[Exit Date]],FALSE),"Left employees", "Current employees")</f>
        <v>Current employees</v>
      </c>
    </row>
    <row r="118" spans="1:15" x14ac:dyDescent="0.35">
      <c r="A118" t="s">
        <v>598</v>
      </c>
      <c r="B118" t="s">
        <v>599</v>
      </c>
      <c r="C118" t="s">
        <v>61</v>
      </c>
      <c r="D118" t="s">
        <v>27</v>
      </c>
      <c r="E118" t="s">
        <v>36</v>
      </c>
      <c r="F118" t="s">
        <v>17</v>
      </c>
      <c r="G118" t="s">
        <v>24</v>
      </c>
      <c r="H118">
        <v>49</v>
      </c>
      <c r="I118" s="1">
        <v>38825</v>
      </c>
      <c r="J118" s="2">
        <v>134486</v>
      </c>
      <c r="K118" s="3">
        <v>0.14000000000000001</v>
      </c>
      <c r="L118" t="s">
        <v>19</v>
      </c>
      <c r="M118" t="s">
        <v>25</v>
      </c>
      <c r="N118" s="1" t="s">
        <v>21</v>
      </c>
      <c r="O118" s="1" t="str">
        <f>IF(OR(TBL_Employees[[#This Row],[Exit Date]],FALSE),"Left employees", "Current employees")</f>
        <v>Current employees</v>
      </c>
    </row>
    <row r="119" spans="1:15" x14ac:dyDescent="0.35">
      <c r="A119" t="s">
        <v>349</v>
      </c>
      <c r="B119" t="s">
        <v>600</v>
      </c>
      <c r="C119" t="s">
        <v>42</v>
      </c>
      <c r="D119" t="s">
        <v>15</v>
      </c>
      <c r="E119" t="s">
        <v>36</v>
      </c>
      <c r="F119" t="s">
        <v>17</v>
      </c>
      <c r="G119" t="s">
        <v>51</v>
      </c>
      <c r="H119">
        <v>60</v>
      </c>
      <c r="I119" s="1">
        <v>39137</v>
      </c>
      <c r="J119" s="2">
        <v>71699</v>
      </c>
      <c r="K119" s="3">
        <v>0</v>
      </c>
      <c r="L119" t="s">
        <v>52</v>
      </c>
      <c r="M119" t="s">
        <v>81</v>
      </c>
      <c r="N119" s="1" t="s">
        <v>21</v>
      </c>
      <c r="O119" s="1" t="str">
        <f>IF(OR(TBL_Employees[[#This Row],[Exit Date]],FALSE),"Left employees", "Current employees")</f>
        <v>Current employees</v>
      </c>
    </row>
    <row r="120" spans="1:15" x14ac:dyDescent="0.35">
      <c r="A120" t="s">
        <v>186</v>
      </c>
      <c r="B120" t="s">
        <v>601</v>
      </c>
      <c r="C120" t="s">
        <v>42</v>
      </c>
      <c r="D120" t="s">
        <v>43</v>
      </c>
      <c r="E120" t="s">
        <v>32</v>
      </c>
      <c r="F120" t="s">
        <v>17</v>
      </c>
      <c r="G120" t="s">
        <v>51</v>
      </c>
      <c r="H120">
        <v>42</v>
      </c>
      <c r="I120" s="1">
        <v>44198</v>
      </c>
      <c r="J120" s="2">
        <v>94430</v>
      </c>
      <c r="K120" s="3">
        <v>0</v>
      </c>
      <c r="L120" t="s">
        <v>19</v>
      </c>
      <c r="M120" t="s">
        <v>63</v>
      </c>
      <c r="N120" s="1" t="s">
        <v>21</v>
      </c>
      <c r="O120" s="1" t="str">
        <f>IF(OR(TBL_Employees[[#This Row],[Exit Date]],FALSE),"Left employees", "Current employees")</f>
        <v>Current employees</v>
      </c>
    </row>
    <row r="121" spans="1:15" x14ac:dyDescent="0.35">
      <c r="A121" t="s">
        <v>602</v>
      </c>
      <c r="B121" t="s">
        <v>603</v>
      </c>
      <c r="C121" t="s">
        <v>62</v>
      </c>
      <c r="D121" t="s">
        <v>15</v>
      </c>
      <c r="E121" t="s">
        <v>32</v>
      </c>
      <c r="F121" t="s">
        <v>28</v>
      </c>
      <c r="G121" t="s">
        <v>24</v>
      </c>
      <c r="H121">
        <v>39</v>
      </c>
      <c r="I121" s="1">
        <v>40192</v>
      </c>
      <c r="J121" s="2">
        <v>103504</v>
      </c>
      <c r="K121" s="3">
        <v>7.0000000000000007E-2</v>
      </c>
      <c r="L121" t="s">
        <v>33</v>
      </c>
      <c r="M121" t="s">
        <v>34</v>
      </c>
      <c r="N121" s="1" t="s">
        <v>21</v>
      </c>
      <c r="O121" s="1" t="str">
        <f>IF(OR(TBL_Employees[[#This Row],[Exit Date]],FALSE),"Left employees", "Current employees")</f>
        <v>Current employees</v>
      </c>
    </row>
    <row r="122" spans="1:15" x14ac:dyDescent="0.35">
      <c r="A122" t="s">
        <v>604</v>
      </c>
      <c r="B122" t="s">
        <v>605</v>
      </c>
      <c r="C122" t="s">
        <v>26</v>
      </c>
      <c r="D122" t="s">
        <v>27</v>
      </c>
      <c r="E122" t="s">
        <v>36</v>
      </c>
      <c r="F122" t="s">
        <v>17</v>
      </c>
      <c r="G122" t="s">
        <v>24</v>
      </c>
      <c r="H122">
        <v>55</v>
      </c>
      <c r="I122" s="1">
        <v>38573</v>
      </c>
      <c r="J122" s="2">
        <v>92771</v>
      </c>
      <c r="K122" s="3">
        <v>0</v>
      </c>
      <c r="L122" t="s">
        <v>19</v>
      </c>
      <c r="M122" t="s">
        <v>45</v>
      </c>
      <c r="N122" s="1" t="s">
        <v>21</v>
      </c>
      <c r="O122" s="1" t="str">
        <f>IF(OR(TBL_Employees[[#This Row],[Exit Date]],FALSE),"Left employees", "Current employees")</f>
        <v>Current employees</v>
      </c>
    </row>
    <row r="123" spans="1:15" x14ac:dyDescent="0.35">
      <c r="A123" t="s">
        <v>606</v>
      </c>
      <c r="B123" t="s">
        <v>607</v>
      </c>
      <c r="C123" t="s">
        <v>64</v>
      </c>
      <c r="D123" t="s">
        <v>15</v>
      </c>
      <c r="E123" t="s">
        <v>44</v>
      </c>
      <c r="F123" t="s">
        <v>17</v>
      </c>
      <c r="G123" t="s">
        <v>51</v>
      </c>
      <c r="H123">
        <v>39</v>
      </c>
      <c r="I123" s="1">
        <v>38813</v>
      </c>
      <c r="J123" s="2">
        <v>71531</v>
      </c>
      <c r="K123" s="3">
        <v>0</v>
      </c>
      <c r="L123" t="s">
        <v>19</v>
      </c>
      <c r="M123" t="s">
        <v>29</v>
      </c>
      <c r="N123" s="1" t="s">
        <v>21</v>
      </c>
      <c r="O123" s="1" t="str">
        <f>IF(OR(TBL_Employees[[#This Row],[Exit Date]],FALSE),"Left employees", "Current employees")</f>
        <v>Current employees</v>
      </c>
    </row>
    <row r="124" spans="1:15" x14ac:dyDescent="0.35">
      <c r="A124" t="s">
        <v>367</v>
      </c>
      <c r="B124" t="s">
        <v>608</v>
      </c>
      <c r="C124" t="s">
        <v>38</v>
      </c>
      <c r="D124" t="s">
        <v>27</v>
      </c>
      <c r="E124" t="s">
        <v>44</v>
      </c>
      <c r="F124" t="s">
        <v>28</v>
      </c>
      <c r="G124" t="s">
        <v>47</v>
      </c>
      <c r="H124">
        <v>28</v>
      </c>
      <c r="I124" s="1">
        <v>43530</v>
      </c>
      <c r="J124" s="2">
        <v>90304</v>
      </c>
      <c r="K124" s="3">
        <v>0</v>
      </c>
      <c r="L124" t="s">
        <v>19</v>
      </c>
      <c r="M124" t="s">
        <v>20</v>
      </c>
      <c r="N124" s="1" t="s">
        <v>21</v>
      </c>
      <c r="O124" s="1" t="str">
        <f>IF(OR(TBL_Employees[[#This Row],[Exit Date]],FALSE),"Left employees", "Current employees")</f>
        <v>Current employees</v>
      </c>
    </row>
    <row r="125" spans="1:15" x14ac:dyDescent="0.35">
      <c r="A125" t="s">
        <v>609</v>
      </c>
      <c r="B125" t="s">
        <v>92</v>
      </c>
      <c r="C125" t="s">
        <v>62</v>
      </c>
      <c r="D125" t="s">
        <v>43</v>
      </c>
      <c r="E125" t="s">
        <v>36</v>
      </c>
      <c r="F125" t="s">
        <v>17</v>
      </c>
      <c r="G125" t="s">
        <v>18</v>
      </c>
      <c r="H125">
        <v>65</v>
      </c>
      <c r="I125" s="1">
        <v>40793</v>
      </c>
      <c r="J125" s="2">
        <v>104903</v>
      </c>
      <c r="K125" s="3">
        <v>0.1</v>
      </c>
      <c r="L125" t="s">
        <v>19</v>
      </c>
      <c r="M125" t="s">
        <v>29</v>
      </c>
      <c r="N125" s="1" t="s">
        <v>21</v>
      </c>
      <c r="O125" s="1" t="str">
        <f>IF(OR(TBL_Employees[[#This Row],[Exit Date]],FALSE),"Left employees", "Current employees")</f>
        <v>Current employees</v>
      </c>
    </row>
    <row r="126" spans="1:15" x14ac:dyDescent="0.35">
      <c r="A126" t="s">
        <v>610</v>
      </c>
      <c r="B126" t="s">
        <v>611</v>
      </c>
      <c r="C126" t="s">
        <v>68</v>
      </c>
      <c r="D126" t="s">
        <v>15</v>
      </c>
      <c r="E126" t="s">
        <v>32</v>
      </c>
      <c r="F126" t="s">
        <v>17</v>
      </c>
      <c r="G126" t="s">
        <v>24</v>
      </c>
      <c r="H126">
        <v>52</v>
      </c>
      <c r="I126" s="1">
        <v>43515</v>
      </c>
      <c r="J126" s="2">
        <v>55859</v>
      </c>
      <c r="K126" s="3">
        <v>0</v>
      </c>
      <c r="L126" t="s">
        <v>33</v>
      </c>
      <c r="M126" t="s">
        <v>60</v>
      </c>
      <c r="N126" s="1" t="s">
        <v>21</v>
      </c>
      <c r="O126" s="1" t="str">
        <f>IF(OR(TBL_Employees[[#This Row],[Exit Date]],FALSE),"Left employees", "Current employees")</f>
        <v>Current employees</v>
      </c>
    </row>
    <row r="127" spans="1:15" x14ac:dyDescent="0.35">
      <c r="A127" t="s">
        <v>253</v>
      </c>
      <c r="B127" t="s">
        <v>612</v>
      </c>
      <c r="C127" t="s">
        <v>69</v>
      </c>
      <c r="D127" t="s">
        <v>31</v>
      </c>
      <c r="E127" t="s">
        <v>32</v>
      </c>
      <c r="F127" t="s">
        <v>17</v>
      </c>
      <c r="G127" t="s">
        <v>51</v>
      </c>
      <c r="H127">
        <v>62</v>
      </c>
      <c r="I127" s="1">
        <v>39002</v>
      </c>
      <c r="J127" s="2">
        <v>79785</v>
      </c>
      <c r="K127" s="3">
        <v>0</v>
      </c>
      <c r="L127" t="s">
        <v>19</v>
      </c>
      <c r="M127" t="s">
        <v>25</v>
      </c>
      <c r="N127" s="1" t="s">
        <v>21</v>
      </c>
      <c r="O127" s="1" t="str">
        <f>IF(OR(TBL_Employees[[#This Row],[Exit Date]],FALSE),"Left employees", "Current employees")</f>
        <v>Current employees</v>
      </c>
    </row>
    <row r="128" spans="1:15" x14ac:dyDescent="0.35">
      <c r="A128" t="s">
        <v>613</v>
      </c>
      <c r="B128" t="s">
        <v>614</v>
      </c>
      <c r="C128" t="s">
        <v>42</v>
      </c>
      <c r="D128" t="s">
        <v>43</v>
      </c>
      <c r="E128" t="s">
        <v>32</v>
      </c>
      <c r="F128" t="s">
        <v>17</v>
      </c>
      <c r="G128" t="s">
        <v>24</v>
      </c>
      <c r="H128">
        <v>39</v>
      </c>
      <c r="I128" s="1">
        <v>39391</v>
      </c>
      <c r="J128" s="2">
        <v>99017</v>
      </c>
      <c r="K128" s="3">
        <v>0</v>
      </c>
      <c r="L128" t="s">
        <v>33</v>
      </c>
      <c r="M128" t="s">
        <v>60</v>
      </c>
      <c r="N128" s="1" t="s">
        <v>21</v>
      </c>
      <c r="O128" s="1" t="str">
        <f>IF(OR(TBL_Employees[[#This Row],[Exit Date]],FALSE),"Left employees", "Current employees")</f>
        <v>Current employees</v>
      </c>
    </row>
    <row r="129" spans="1:15" x14ac:dyDescent="0.35">
      <c r="A129" t="s">
        <v>615</v>
      </c>
      <c r="B129" t="s">
        <v>616</v>
      </c>
      <c r="C129" t="s">
        <v>76</v>
      </c>
      <c r="D129" t="s">
        <v>27</v>
      </c>
      <c r="E129" t="s">
        <v>36</v>
      </c>
      <c r="F129" t="s">
        <v>17</v>
      </c>
      <c r="G129" t="s">
        <v>18</v>
      </c>
      <c r="H129">
        <v>63</v>
      </c>
      <c r="I129" s="1">
        <v>33695</v>
      </c>
      <c r="J129" s="2">
        <v>53809</v>
      </c>
      <c r="K129" s="3">
        <v>0</v>
      </c>
      <c r="L129" t="s">
        <v>19</v>
      </c>
      <c r="M129" t="s">
        <v>39</v>
      </c>
      <c r="N129" s="1" t="s">
        <v>21</v>
      </c>
      <c r="O129" s="1" t="str">
        <f>IF(OR(TBL_Employees[[#This Row],[Exit Date]],FALSE),"Left employees", "Current employees")</f>
        <v>Current employees</v>
      </c>
    </row>
    <row r="130" spans="1:15" x14ac:dyDescent="0.35">
      <c r="A130" t="s">
        <v>617</v>
      </c>
      <c r="B130" t="s">
        <v>618</v>
      </c>
      <c r="C130" t="s">
        <v>129</v>
      </c>
      <c r="D130" t="s">
        <v>31</v>
      </c>
      <c r="E130" t="s">
        <v>44</v>
      </c>
      <c r="F130" t="s">
        <v>28</v>
      </c>
      <c r="G130" t="s">
        <v>24</v>
      </c>
      <c r="H130">
        <v>27</v>
      </c>
      <c r="I130" s="1">
        <v>43937</v>
      </c>
      <c r="J130" s="2">
        <v>71864</v>
      </c>
      <c r="K130" s="3">
        <v>0</v>
      </c>
      <c r="L130" t="s">
        <v>33</v>
      </c>
      <c r="M130" t="s">
        <v>34</v>
      </c>
      <c r="N130" s="1" t="s">
        <v>21</v>
      </c>
      <c r="O130" s="1" t="str">
        <f>IF(OR(TBL_Employees[[#This Row],[Exit Date]],FALSE),"Left employees", "Current employees")</f>
        <v>Current employees</v>
      </c>
    </row>
    <row r="131" spans="1:15" x14ac:dyDescent="0.35">
      <c r="A131" t="s">
        <v>619</v>
      </c>
      <c r="B131" t="s">
        <v>620</v>
      </c>
      <c r="C131" t="s">
        <v>14</v>
      </c>
      <c r="D131" t="s">
        <v>15</v>
      </c>
      <c r="E131" t="s">
        <v>32</v>
      </c>
      <c r="F131" t="s">
        <v>17</v>
      </c>
      <c r="G131" t="s">
        <v>24</v>
      </c>
      <c r="H131">
        <v>37</v>
      </c>
      <c r="I131" s="1">
        <v>40883</v>
      </c>
      <c r="J131" s="2">
        <v>225558</v>
      </c>
      <c r="K131" s="3">
        <v>0.33</v>
      </c>
      <c r="L131" t="s">
        <v>33</v>
      </c>
      <c r="M131" t="s">
        <v>74</v>
      </c>
      <c r="N131" s="1" t="s">
        <v>21</v>
      </c>
      <c r="O131" s="1" t="str">
        <f>IF(OR(TBL_Employees[[#This Row],[Exit Date]],FALSE),"Left employees", "Current employees")</f>
        <v>Current employees</v>
      </c>
    </row>
    <row r="132" spans="1:15" x14ac:dyDescent="0.35">
      <c r="A132" t="s">
        <v>104</v>
      </c>
      <c r="B132" t="s">
        <v>621</v>
      </c>
      <c r="C132" t="s">
        <v>61</v>
      </c>
      <c r="D132" t="s">
        <v>27</v>
      </c>
      <c r="E132" t="s">
        <v>36</v>
      </c>
      <c r="F132" t="s">
        <v>28</v>
      </c>
      <c r="G132" t="s">
        <v>18</v>
      </c>
      <c r="H132">
        <v>37</v>
      </c>
      <c r="I132" s="1">
        <v>41695</v>
      </c>
      <c r="J132" s="2">
        <v>128984</v>
      </c>
      <c r="K132" s="3">
        <v>0.12</v>
      </c>
      <c r="L132" t="s">
        <v>19</v>
      </c>
      <c r="M132" t="s">
        <v>45</v>
      </c>
      <c r="N132" s="1">
        <v>44317</v>
      </c>
      <c r="O132" s="1" t="str">
        <f>IF(OR(TBL_Employees[[#This Row],[Exit Date]],FALSE),"Left employees", "Current employees")</f>
        <v>Left employees</v>
      </c>
    </row>
    <row r="133" spans="1:15" x14ac:dyDescent="0.35">
      <c r="A133" t="s">
        <v>622</v>
      </c>
      <c r="B133" t="s">
        <v>623</v>
      </c>
      <c r="C133" t="s">
        <v>129</v>
      </c>
      <c r="D133" t="s">
        <v>31</v>
      </c>
      <c r="E133" t="s">
        <v>44</v>
      </c>
      <c r="F133" t="s">
        <v>28</v>
      </c>
      <c r="G133" t="s">
        <v>51</v>
      </c>
      <c r="H133">
        <v>46</v>
      </c>
      <c r="I133" s="1">
        <v>36331</v>
      </c>
      <c r="J133" s="2">
        <v>96997</v>
      </c>
      <c r="K133" s="3">
        <v>0</v>
      </c>
      <c r="L133" t="s">
        <v>52</v>
      </c>
      <c r="M133" t="s">
        <v>53</v>
      </c>
      <c r="N133" s="1" t="s">
        <v>21</v>
      </c>
      <c r="O133" s="1" t="str">
        <f>IF(OR(TBL_Employees[[#This Row],[Exit Date]],FALSE),"Left employees", "Current employees")</f>
        <v>Current employees</v>
      </c>
    </row>
    <row r="134" spans="1:15" x14ac:dyDescent="0.35">
      <c r="A134" t="s">
        <v>624</v>
      </c>
      <c r="B134" t="s">
        <v>625</v>
      </c>
      <c r="C134" t="s">
        <v>40</v>
      </c>
      <c r="D134" t="s">
        <v>23</v>
      </c>
      <c r="E134" t="s">
        <v>36</v>
      </c>
      <c r="F134" t="s">
        <v>17</v>
      </c>
      <c r="G134" t="s">
        <v>51</v>
      </c>
      <c r="H134">
        <v>54</v>
      </c>
      <c r="I134" s="1">
        <v>43122</v>
      </c>
      <c r="J134" s="2">
        <v>176294</v>
      </c>
      <c r="K134" s="3">
        <v>0.28000000000000003</v>
      </c>
      <c r="L134" t="s">
        <v>19</v>
      </c>
      <c r="M134" t="s">
        <v>25</v>
      </c>
      <c r="N134" s="1" t="s">
        <v>21</v>
      </c>
      <c r="O134" s="1" t="str">
        <f>IF(OR(TBL_Employees[[#This Row],[Exit Date]],FALSE),"Left employees", "Current employees")</f>
        <v>Current employees</v>
      </c>
    </row>
    <row r="135" spans="1:15" x14ac:dyDescent="0.35">
      <c r="A135" t="s">
        <v>626</v>
      </c>
      <c r="B135" t="s">
        <v>627</v>
      </c>
      <c r="C135" t="s">
        <v>68</v>
      </c>
      <c r="D135" t="s">
        <v>50</v>
      </c>
      <c r="E135" t="s">
        <v>16</v>
      </c>
      <c r="F135" t="s">
        <v>17</v>
      </c>
      <c r="G135" t="s">
        <v>24</v>
      </c>
      <c r="H135">
        <v>30</v>
      </c>
      <c r="I135" s="1">
        <v>44241</v>
      </c>
      <c r="J135" s="2">
        <v>48340</v>
      </c>
      <c r="K135" s="3">
        <v>0</v>
      </c>
      <c r="L135" t="s">
        <v>33</v>
      </c>
      <c r="M135" t="s">
        <v>60</v>
      </c>
      <c r="N135" s="1" t="s">
        <v>21</v>
      </c>
      <c r="O135" s="1" t="str">
        <f>IF(OR(TBL_Employees[[#This Row],[Exit Date]],FALSE),"Left employees", "Current employees")</f>
        <v>Current employees</v>
      </c>
    </row>
    <row r="136" spans="1:15" x14ac:dyDescent="0.35">
      <c r="A136" t="s">
        <v>628</v>
      </c>
      <c r="B136" t="s">
        <v>229</v>
      </c>
      <c r="C136" t="s">
        <v>14</v>
      </c>
      <c r="D136" t="s">
        <v>31</v>
      </c>
      <c r="E136" t="s">
        <v>32</v>
      </c>
      <c r="F136" t="s">
        <v>17</v>
      </c>
      <c r="G136" t="s">
        <v>51</v>
      </c>
      <c r="H136">
        <v>28</v>
      </c>
      <c r="I136" s="1">
        <v>42922</v>
      </c>
      <c r="J136" s="2">
        <v>240488</v>
      </c>
      <c r="K136" s="3">
        <v>0.4</v>
      </c>
      <c r="L136" t="s">
        <v>52</v>
      </c>
      <c r="M136" t="s">
        <v>66</v>
      </c>
      <c r="N136" s="1" t="s">
        <v>21</v>
      </c>
      <c r="O136" s="1" t="str">
        <f>IF(OR(TBL_Employees[[#This Row],[Exit Date]],FALSE),"Left employees", "Current employees")</f>
        <v>Current employees</v>
      </c>
    </row>
    <row r="137" spans="1:15" x14ac:dyDescent="0.35">
      <c r="A137" t="s">
        <v>629</v>
      </c>
      <c r="B137" t="s">
        <v>630</v>
      </c>
      <c r="C137" t="s">
        <v>26</v>
      </c>
      <c r="D137" t="s">
        <v>27</v>
      </c>
      <c r="E137" t="s">
        <v>36</v>
      </c>
      <c r="F137" t="s">
        <v>28</v>
      </c>
      <c r="G137" t="s">
        <v>18</v>
      </c>
      <c r="H137">
        <v>40</v>
      </c>
      <c r="I137" s="1">
        <v>40565</v>
      </c>
      <c r="J137" s="2">
        <v>97339</v>
      </c>
      <c r="K137" s="3">
        <v>0</v>
      </c>
      <c r="L137" t="s">
        <v>19</v>
      </c>
      <c r="M137" t="s">
        <v>25</v>
      </c>
      <c r="N137" s="1" t="s">
        <v>21</v>
      </c>
      <c r="O137" s="1" t="str">
        <f>IF(OR(TBL_Employees[[#This Row],[Exit Date]],FALSE),"Left employees", "Current employees")</f>
        <v>Current employees</v>
      </c>
    </row>
    <row r="138" spans="1:15" x14ac:dyDescent="0.35">
      <c r="A138" t="s">
        <v>631</v>
      </c>
      <c r="B138" t="s">
        <v>632</v>
      </c>
      <c r="C138" t="s">
        <v>14</v>
      </c>
      <c r="D138" t="s">
        <v>23</v>
      </c>
      <c r="E138" t="s">
        <v>36</v>
      </c>
      <c r="F138" t="s">
        <v>17</v>
      </c>
      <c r="G138" t="s">
        <v>24</v>
      </c>
      <c r="H138">
        <v>49</v>
      </c>
      <c r="I138" s="1">
        <v>37680</v>
      </c>
      <c r="J138" s="2">
        <v>211291</v>
      </c>
      <c r="K138" s="3">
        <v>0.37</v>
      </c>
      <c r="L138" t="s">
        <v>33</v>
      </c>
      <c r="M138" t="s">
        <v>80</v>
      </c>
      <c r="N138" s="1" t="s">
        <v>21</v>
      </c>
      <c r="O138" s="1" t="str">
        <f>IF(OR(TBL_Employees[[#This Row],[Exit Date]],FALSE),"Left employees", "Current employees")</f>
        <v>Current employees</v>
      </c>
    </row>
    <row r="139" spans="1:15" x14ac:dyDescent="0.35">
      <c r="A139" t="s">
        <v>379</v>
      </c>
      <c r="B139" t="s">
        <v>633</v>
      </c>
      <c r="C139" t="s">
        <v>14</v>
      </c>
      <c r="D139" t="s">
        <v>50</v>
      </c>
      <c r="E139" t="s">
        <v>16</v>
      </c>
      <c r="F139" t="s">
        <v>28</v>
      </c>
      <c r="G139" t="s">
        <v>51</v>
      </c>
      <c r="H139">
        <v>39</v>
      </c>
      <c r="I139" s="1">
        <v>40778</v>
      </c>
      <c r="J139" s="2">
        <v>249506</v>
      </c>
      <c r="K139" s="3">
        <v>0.3</v>
      </c>
      <c r="L139" t="s">
        <v>52</v>
      </c>
      <c r="M139" t="s">
        <v>66</v>
      </c>
      <c r="N139" s="1" t="s">
        <v>21</v>
      </c>
      <c r="O139" s="1" t="str">
        <f>IF(OR(TBL_Employees[[#This Row],[Exit Date]],FALSE),"Left employees", "Current employees")</f>
        <v>Current employees</v>
      </c>
    </row>
    <row r="140" spans="1:15" x14ac:dyDescent="0.35">
      <c r="A140" t="s">
        <v>244</v>
      </c>
      <c r="B140" t="s">
        <v>634</v>
      </c>
      <c r="C140" t="s">
        <v>30</v>
      </c>
      <c r="D140" t="s">
        <v>31</v>
      </c>
      <c r="E140" t="s">
        <v>44</v>
      </c>
      <c r="F140" t="s">
        <v>28</v>
      </c>
      <c r="G140" t="s">
        <v>24</v>
      </c>
      <c r="H140">
        <v>61</v>
      </c>
      <c r="I140" s="1">
        <v>37582</v>
      </c>
      <c r="J140" s="2">
        <v>80950</v>
      </c>
      <c r="K140" s="3">
        <v>0</v>
      </c>
      <c r="L140" t="s">
        <v>33</v>
      </c>
      <c r="M140" t="s">
        <v>80</v>
      </c>
      <c r="N140" s="1" t="s">
        <v>21</v>
      </c>
      <c r="O140" s="1" t="str">
        <f>IF(OR(TBL_Employees[[#This Row],[Exit Date]],FALSE),"Left employees", "Current employees")</f>
        <v>Current employees</v>
      </c>
    </row>
    <row r="141" spans="1:15" x14ac:dyDescent="0.35">
      <c r="A141" t="s">
        <v>635</v>
      </c>
      <c r="B141" t="s">
        <v>636</v>
      </c>
      <c r="C141" t="s">
        <v>59</v>
      </c>
      <c r="D141" t="s">
        <v>31</v>
      </c>
      <c r="E141" t="s">
        <v>16</v>
      </c>
      <c r="F141" t="s">
        <v>17</v>
      </c>
      <c r="G141" t="s">
        <v>24</v>
      </c>
      <c r="H141">
        <v>46</v>
      </c>
      <c r="I141" s="1">
        <v>44206</v>
      </c>
      <c r="J141" s="2">
        <v>86538</v>
      </c>
      <c r="K141" s="3">
        <v>0</v>
      </c>
      <c r="L141" t="s">
        <v>33</v>
      </c>
      <c r="M141" t="s">
        <v>34</v>
      </c>
      <c r="N141" s="1" t="s">
        <v>21</v>
      </c>
      <c r="O141" s="1" t="str">
        <f>IF(OR(TBL_Employees[[#This Row],[Exit Date]],FALSE),"Left employees", "Current employees")</f>
        <v>Current employees</v>
      </c>
    </row>
    <row r="142" spans="1:15" x14ac:dyDescent="0.35">
      <c r="A142" t="s">
        <v>637</v>
      </c>
      <c r="B142" t="s">
        <v>638</v>
      </c>
      <c r="C142" t="s">
        <v>42</v>
      </c>
      <c r="D142" t="s">
        <v>43</v>
      </c>
      <c r="E142" t="s">
        <v>44</v>
      </c>
      <c r="F142" t="s">
        <v>17</v>
      </c>
      <c r="G142" t="s">
        <v>18</v>
      </c>
      <c r="H142">
        <v>35</v>
      </c>
      <c r="I142" s="1">
        <v>43715</v>
      </c>
      <c r="J142" s="2">
        <v>70992</v>
      </c>
      <c r="K142" s="3">
        <v>0</v>
      </c>
      <c r="L142" t="s">
        <v>19</v>
      </c>
      <c r="M142" t="s">
        <v>25</v>
      </c>
      <c r="N142" s="1" t="s">
        <v>21</v>
      </c>
      <c r="O142" s="1" t="str">
        <f>IF(OR(TBL_Employees[[#This Row],[Exit Date]],FALSE),"Left employees", "Current employees")</f>
        <v>Current employees</v>
      </c>
    </row>
    <row r="143" spans="1:15" x14ac:dyDescent="0.35">
      <c r="A143" t="s">
        <v>639</v>
      </c>
      <c r="B143" t="s">
        <v>640</v>
      </c>
      <c r="C143" t="s">
        <v>14</v>
      </c>
      <c r="D143" t="s">
        <v>31</v>
      </c>
      <c r="E143" t="s">
        <v>32</v>
      </c>
      <c r="F143" t="s">
        <v>28</v>
      </c>
      <c r="G143" t="s">
        <v>18</v>
      </c>
      <c r="H143">
        <v>33</v>
      </c>
      <c r="I143" s="1">
        <v>42173</v>
      </c>
      <c r="J143" s="2">
        <v>205314</v>
      </c>
      <c r="K143" s="3">
        <v>0.3</v>
      </c>
      <c r="L143" t="s">
        <v>19</v>
      </c>
      <c r="M143" t="s">
        <v>29</v>
      </c>
      <c r="N143" s="1" t="s">
        <v>21</v>
      </c>
      <c r="O143" s="1" t="str">
        <f>IF(OR(TBL_Employees[[#This Row],[Exit Date]],FALSE),"Left employees", "Current employees")</f>
        <v>Current employees</v>
      </c>
    </row>
    <row r="144" spans="1:15" x14ac:dyDescent="0.35">
      <c r="A144" t="s">
        <v>641</v>
      </c>
      <c r="B144" t="s">
        <v>642</v>
      </c>
      <c r="C144" t="s">
        <v>14</v>
      </c>
      <c r="D144" t="s">
        <v>23</v>
      </c>
      <c r="E144" t="s">
        <v>32</v>
      </c>
      <c r="F144" t="s">
        <v>17</v>
      </c>
      <c r="G144" t="s">
        <v>24</v>
      </c>
      <c r="H144">
        <v>61</v>
      </c>
      <c r="I144" s="1">
        <v>42804</v>
      </c>
      <c r="J144" s="2">
        <v>196951</v>
      </c>
      <c r="K144" s="3">
        <v>0.33</v>
      </c>
      <c r="L144" t="s">
        <v>33</v>
      </c>
      <c r="M144" t="s">
        <v>60</v>
      </c>
      <c r="N144" s="1" t="s">
        <v>21</v>
      </c>
      <c r="O144" s="1" t="str">
        <f>IF(OR(TBL_Employees[[#This Row],[Exit Date]],FALSE),"Left employees", "Current employees")</f>
        <v>Current employees</v>
      </c>
    </row>
    <row r="145" spans="1:15" x14ac:dyDescent="0.35">
      <c r="A145" t="s">
        <v>283</v>
      </c>
      <c r="B145" t="s">
        <v>643</v>
      </c>
      <c r="C145" t="s">
        <v>35</v>
      </c>
      <c r="D145" t="s">
        <v>27</v>
      </c>
      <c r="E145" t="s">
        <v>44</v>
      </c>
      <c r="F145" t="s">
        <v>28</v>
      </c>
      <c r="G145" t="s">
        <v>24</v>
      </c>
      <c r="H145">
        <v>45</v>
      </c>
      <c r="I145" s="1">
        <v>38613</v>
      </c>
      <c r="J145" s="2">
        <v>67686</v>
      </c>
      <c r="K145" s="3">
        <v>0</v>
      </c>
      <c r="L145" t="s">
        <v>33</v>
      </c>
      <c r="M145" t="s">
        <v>60</v>
      </c>
      <c r="N145" s="1" t="s">
        <v>21</v>
      </c>
      <c r="O145" s="1" t="str">
        <f>IF(OR(TBL_Employees[[#This Row],[Exit Date]],FALSE),"Left employees", "Current employees")</f>
        <v>Current employees</v>
      </c>
    </row>
    <row r="146" spans="1:15" x14ac:dyDescent="0.35">
      <c r="A146" t="s">
        <v>230</v>
      </c>
      <c r="B146" t="s">
        <v>644</v>
      </c>
      <c r="C146" t="s">
        <v>55</v>
      </c>
      <c r="D146" t="s">
        <v>27</v>
      </c>
      <c r="E146" t="s">
        <v>16</v>
      </c>
      <c r="F146" t="s">
        <v>28</v>
      </c>
      <c r="G146" t="s">
        <v>51</v>
      </c>
      <c r="H146">
        <v>51</v>
      </c>
      <c r="I146" s="1">
        <v>39553</v>
      </c>
      <c r="J146" s="2">
        <v>86431</v>
      </c>
      <c r="K146" s="3">
        <v>0</v>
      </c>
      <c r="L146" t="s">
        <v>19</v>
      </c>
      <c r="M146" t="s">
        <v>29</v>
      </c>
      <c r="N146" s="1" t="s">
        <v>21</v>
      </c>
      <c r="O146" s="1" t="str">
        <f>IF(OR(TBL_Employees[[#This Row],[Exit Date]],FALSE),"Left employees", "Current employees")</f>
        <v>Current employees</v>
      </c>
    </row>
    <row r="147" spans="1:15" x14ac:dyDescent="0.35">
      <c r="A147" t="s">
        <v>645</v>
      </c>
      <c r="B147" t="s">
        <v>646</v>
      </c>
      <c r="C147" t="s">
        <v>62</v>
      </c>
      <c r="D147" t="s">
        <v>23</v>
      </c>
      <c r="E147" t="s">
        <v>36</v>
      </c>
      <c r="F147" t="s">
        <v>28</v>
      </c>
      <c r="G147" t="s">
        <v>24</v>
      </c>
      <c r="H147">
        <v>55</v>
      </c>
      <c r="I147" s="1">
        <v>35019</v>
      </c>
      <c r="J147" s="2">
        <v>125936</v>
      </c>
      <c r="K147" s="3">
        <v>0.08</v>
      </c>
      <c r="L147" t="s">
        <v>33</v>
      </c>
      <c r="M147" t="s">
        <v>80</v>
      </c>
      <c r="N147" s="1" t="s">
        <v>21</v>
      </c>
      <c r="O147" s="1" t="str">
        <f>IF(OR(TBL_Employees[[#This Row],[Exit Date]],FALSE),"Left employees", "Current employees")</f>
        <v>Current employees</v>
      </c>
    </row>
    <row r="148" spans="1:15" x14ac:dyDescent="0.35">
      <c r="A148" t="s">
        <v>647</v>
      </c>
      <c r="B148" t="s">
        <v>648</v>
      </c>
      <c r="C148" t="s">
        <v>61</v>
      </c>
      <c r="D148" t="s">
        <v>50</v>
      </c>
      <c r="E148" t="s">
        <v>32</v>
      </c>
      <c r="F148" t="s">
        <v>17</v>
      </c>
      <c r="G148" t="s">
        <v>18</v>
      </c>
      <c r="H148">
        <v>46</v>
      </c>
      <c r="I148" s="1">
        <v>41473</v>
      </c>
      <c r="J148" s="2">
        <v>149712</v>
      </c>
      <c r="K148" s="3">
        <v>0.14000000000000001</v>
      </c>
      <c r="L148" t="s">
        <v>19</v>
      </c>
      <c r="M148" t="s">
        <v>29</v>
      </c>
      <c r="N148" s="1" t="s">
        <v>21</v>
      </c>
      <c r="O148" s="1" t="str">
        <f>IF(OR(TBL_Employees[[#This Row],[Exit Date]],FALSE),"Left employees", "Current employees")</f>
        <v>Current employees</v>
      </c>
    </row>
    <row r="149" spans="1:15" x14ac:dyDescent="0.35">
      <c r="A149" t="s">
        <v>146</v>
      </c>
      <c r="B149" t="s">
        <v>649</v>
      </c>
      <c r="C149" t="s">
        <v>129</v>
      </c>
      <c r="D149" t="s">
        <v>31</v>
      </c>
      <c r="E149" t="s">
        <v>44</v>
      </c>
      <c r="F149" t="s">
        <v>28</v>
      </c>
      <c r="G149" t="s">
        <v>18</v>
      </c>
      <c r="H149">
        <v>30</v>
      </c>
      <c r="I149" s="1">
        <v>44471</v>
      </c>
      <c r="J149" s="2">
        <v>88758</v>
      </c>
      <c r="K149" s="3">
        <v>0</v>
      </c>
      <c r="L149" t="s">
        <v>19</v>
      </c>
      <c r="M149" t="s">
        <v>63</v>
      </c>
      <c r="N149" s="1" t="s">
        <v>21</v>
      </c>
      <c r="O149" s="1" t="str">
        <f>IF(OR(TBL_Employees[[#This Row],[Exit Date]],FALSE),"Left employees", "Current employees")</f>
        <v>Current employees</v>
      </c>
    </row>
    <row r="150" spans="1:15" x14ac:dyDescent="0.35">
      <c r="A150" t="s">
        <v>391</v>
      </c>
      <c r="B150" t="s">
        <v>650</v>
      </c>
      <c r="C150" t="s">
        <v>88</v>
      </c>
      <c r="D150" t="s">
        <v>27</v>
      </c>
      <c r="E150" t="s">
        <v>16</v>
      </c>
      <c r="F150" t="s">
        <v>28</v>
      </c>
      <c r="G150" t="s">
        <v>24</v>
      </c>
      <c r="H150">
        <v>54</v>
      </c>
      <c r="I150" s="1">
        <v>41468</v>
      </c>
      <c r="J150" s="2">
        <v>83639</v>
      </c>
      <c r="K150" s="3">
        <v>0</v>
      </c>
      <c r="L150" t="s">
        <v>33</v>
      </c>
      <c r="M150" t="s">
        <v>60</v>
      </c>
      <c r="N150" s="1" t="s">
        <v>21</v>
      </c>
      <c r="O150" s="1" t="str">
        <f>IF(OR(TBL_Employees[[#This Row],[Exit Date]],FALSE),"Left employees", "Current employees")</f>
        <v>Current employees</v>
      </c>
    </row>
    <row r="151" spans="1:15" x14ac:dyDescent="0.35">
      <c r="A151" t="s">
        <v>651</v>
      </c>
      <c r="B151" t="s">
        <v>652</v>
      </c>
      <c r="C151" t="s">
        <v>71</v>
      </c>
      <c r="D151" t="s">
        <v>27</v>
      </c>
      <c r="E151" t="s">
        <v>16</v>
      </c>
      <c r="F151" t="s">
        <v>17</v>
      </c>
      <c r="G151" t="s">
        <v>18</v>
      </c>
      <c r="H151">
        <v>54</v>
      </c>
      <c r="I151" s="1">
        <v>35933</v>
      </c>
      <c r="J151" s="2">
        <v>68268</v>
      </c>
      <c r="K151" s="3">
        <v>0</v>
      </c>
      <c r="L151" t="s">
        <v>19</v>
      </c>
      <c r="M151" t="s">
        <v>39</v>
      </c>
      <c r="N151" s="1" t="s">
        <v>21</v>
      </c>
      <c r="O151" s="1" t="str">
        <f>IF(OR(TBL_Employees[[#This Row],[Exit Date]],FALSE),"Left employees", "Current employees")</f>
        <v>Current employees</v>
      </c>
    </row>
    <row r="152" spans="1:15" x14ac:dyDescent="0.35">
      <c r="A152" t="s">
        <v>312</v>
      </c>
      <c r="B152" t="s">
        <v>653</v>
      </c>
      <c r="C152" t="s">
        <v>129</v>
      </c>
      <c r="D152" t="s">
        <v>31</v>
      </c>
      <c r="E152" t="s">
        <v>36</v>
      </c>
      <c r="F152" t="s">
        <v>28</v>
      </c>
      <c r="G152" t="s">
        <v>51</v>
      </c>
      <c r="H152">
        <v>45</v>
      </c>
      <c r="I152" s="1">
        <v>37313</v>
      </c>
      <c r="J152" s="2">
        <v>75819</v>
      </c>
      <c r="K152" s="3">
        <v>0</v>
      </c>
      <c r="L152" t="s">
        <v>52</v>
      </c>
      <c r="M152" t="s">
        <v>53</v>
      </c>
      <c r="N152" s="1" t="s">
        <v>21</v>
      </c>
      <c r="O152" s="1" t="str">
        <f>IF(OR(TBL_Employees[[#This Row],[Exit Date]],FALSE),"Left employees", "Current employees")</f>
        <v>Current employees</v>
      </c>
    </row>
    <row r="153" spans="1:15" x14ac:dyDescent="0.35">
      <c r="A153" t="s">
        <v>654</v>
      </c>
      <c r="B153" t="s">
        <v>655</v>
      </c>
      <c r="C153" t="s">
        <v>42</v>
      </c>
      <c r="D153" t="s">
        <v>50</v>
      </c>
      <c r="E153" t="s">
        <v>44</v>
      </c>
      <c r="F153" t="s">
        <v>17</v>
      </c>
      <c r="G153" t="s">
        <v>18</v>
      </c>
      <c r="H153">
        <v>49</v>
      </c>
      <c r="I153" s="1">
        <v>35200</v>
      </c>
      <c r="J153" s="2">
        <v>86658</v>
      </c>
      <c r="K153" s="3">
        <v>0</v>
      </c>
      <c r="L153" t="s">
        <v>19</v>
      </c>
      <c r="M153" t="s">
        <v>39</v>
      </c>
      <c r="N153" s="1" t="s">
        <v>21</v>
      </c>
      <c r="O153" s="1" t="str">
        <f>IF(OR(TBL_Employees[[#This Row],[Exit Date]],FALSE),"Left employees", "Current employees")</f>
        <v>Current employees</v>
      </c>
    </row>
    <row r="154" spans="1:15" x14ac:dyDescent="0.35">
      <c r="A154" t="s">
        <v>656</v>
      </c>
      <c r="B154" t="s">
        <v>657</v>
      </c>
      <c r="C154" t="s">
        <v>64</v>
      </c>
      <c r="D154" t="s">
        <v>15</v>
      </c>
      <c r="E154" t="s">
        <v>16</v>
      </c>
      <c r="F154" t="s">
        <v>28</v>
      </c>
      <c r="G154" t="s">
        <v>24</v>
      </c>
      <c r="H154">
        <v>55</v>
      </c>
      <c r="I154" s="1">
        <v>41714</v>
      </c>
      <c r="J154" s="2">
        <v>74552</v>
      </c>
      <c r="K154" s="3">
        <v>0</v>
      </c>
      <c r="L154" t="s">
        <v>33</v>
      </c>
      <c r="M154" t="s">
        <v>34</v>
      </c>
      <c r="N154" s="1" t="s">
        <v>21</v>
      </c>
      <c r="O154" s="1" t="str">
        <f>IF(OR(TBL_Employees[[#This Row],[Exit Date]],FALSE),"Left employees", "Current employees")</f>
        <v>Current employees</v>
      </c>
    </row>
    <row r="155" spans="1:15" x14ac:dyDescent="0.35">
      <c r="A155" t="s">
        <v>245</v>
      </c>
      <c r="B155" t="s">
        <v>658</v>
      </c>
      <c r="C155" t="s">
        <v>26</v>
      </c>
      <c r="D155" t="s">
        <v>27</v>
      </c>
      <c r="E155" t="s">
        <v>36</v>
      </c>
      <c r="F155" t="s">
        <v>17</v>
      </c>
      <c r="G155" t="s">
        <v>24</v>
      </c>
      <c r="H155">
        <v>62</v>
      </c>
      <c r="I155" s="1">
        <v>39887</v>
      </c>
      <c r="J155" s="2">
        <v>82839</v>
      </c>
      <c r="K155" s="3">
        <v>0</v>
      </c>
      <c r="L155" t="s">
        <v>19</v>
      </c>
      <c r="M155" t="s">
        <v>45</v>
      </c>
      <c r="N155" s="1" t="s">
        <v>21</v>
      </c>
      <c r="O155" s="1" t="str">
        <f>IF(OR(TBL_Employees[[#This Row],[Exit Date]],FALSE),"Left employees", "Current employees")</f>
        <v>Current employees</v>
      </c>
    </row>
    <row r="156" spans="1:15" x14ac:dyDescent="0.35">
      <c r="A156" t="s">
        <v>659</v>
      </c>
      <c r="B156" t="s">
        <v>660</v>
      </c>
      <c r="C156" t="s">
        <v>71</v>
      </c>
      <c r="D156" t="s">
        <v>27</v>
      </c>
      <c r="E156" t="s">
        <v>44</v>
      </c>
      <c r="F156" t="s">
        <v>17</v>
      </c>
      <c r="G156" t="s">
        <v>18</v>
      </c>
      <c r="H156">
        <v>28</v>
      </c>
      <c r="I156" s="1">
        <v>44477</v>
      </c>
      <c r="J156" s="2">
        <v>64475</v>
      </c>
      <c r="K156" s="3">
        <v>0</v>
      </c>
      <c r="L156" t="s">
        <v>19</v>
      </c>
      <c r="M156" t="s">
        <v>39</v>
      </c>
      <c r="N156" s="1" t="s">
        <v>21</v>
      </c>
      <c r="O156" s="1" t="str">
        <f>IF(OR(TBL_Employees[[#This Row],[Exit Date]],FALSE),"Left employees", "Current employees")</f>
        <v>Current employees</v>
      </c>
    </row>
    <row r="157" spans="1:15" x14ac:dyDescent="0.35">
      <c r="A157" t="s">
        <v>661</v>
      </c>
      <c r="B157" t="s">
        <v>662</v>
      </c>
      <c r="C157" t="s">
        <v>71</v>
      </c>
      <c r="D157" t="s">
        <v>27</v>
      </c>
      <c r="E157" t="s">
        <v>36</v>
      </c>
      <c r="F157" t="s">
        <v>28</v>
      </c>
      <c r="G157" t="s">
        <v>24</v>
      </c>
      <c r="H157">
        <v>33</v>
      </c>
      <c r="I157" s="1">
        <v>44036</v>
      </c>
      <c r="J157" s="2">
        <v>69453</v>
      </c>
      <c r="K157" s="3">
        <v>0</v>
      </c>
      <c r="L157" t="s">
        <v>33</v>
      </c>
      <c r="M157" t="s">
        <v>34</v>
      </c>
      <c r="N157" s="1" t="s">
        <v>21</v>
      </c>
      <c r="O157" s="1" t="str">
        <f>IF(OR(TBL_Employees[[#This Row],[Exit Date]],FALSE),"Left employees", "Current employees")</f>
        <v>Current employees</v>
      </c>
    </row>
    <row r="158" spans="1:15" x14ac:dyDescent="0.35">
      <c r="A158" t="s">
        <v>663</v>
      </c>
      <c r="B158" t="s">
        <v>664</v>
      </c>
      <c r="C158" t="s">
        <v>62</v>
      </c>
      <c r="D158" t="s">
        <v>27</v>
      </c>
      <c r="E158" t="s">
        <v>32</v>
      </c>
      <c r="F158" t="s">
        <v>28</v>
      </c>
      <c r="G158" t="s">
        <v>18</v>
      </c>
      <c r="H158">
        <v>32</v>
      </c>
      <c r="I158" s="1">
        <v>41642</v>
      </c>
      <c r="J158" s="2">
        <v>127148</v>
      </c>
      <c r="K158" s="3">
        <v>0.1</v>
      </c>
      <c r="L158" t="s">
        <v>19</v>
      </c>
      <c r="M158" t="s">
        <v>45</v>
      </c>
      <c r="N158" s="1" t="s">
        <v>21</v>
      </c>
      <c r="O158" s="1" t="str">
        <f>IF(OR(TBL_Employees[[#This Row],[Exit Date]],FALSE),"Left employees", "Current employees")</f>
        <v>Current employees</v>
      </c>
    </row>
    <row r="159" spans="1:15" x14ac:dyDescent="0.35">
      <c r="A159" t="s">
        <v>665</v>
      </c>
      <c r="B159" t="s">
        <v>666</v>
      </c>
      <c r="C159" t="s">
        <v>14</v>
      </c>
      <c r="D159" t="s">
        <v>15</v>
      </c>
      <c r="E159" t="s">
        <v>44</v>
      </c>
      <c r="F159" t="s">
        <v>17</v>
      </c>
      <c r="G159" t="s">
        <v>18</v>
      </c>
      <c r="H159">
        <v>32</v>
      </c>
      <c r="I159" s="1">
        <v>43102</v>
      </c>
      <c r="J159" s="2">
        <v>190253</v>
      </c>
      <c r="K159" s="3">
        <v>0.33</v>
      </c>
      <c r="L159" t="s">
        <v>19</v>
      </c>
      <c r="M159" t="s">
        <v>25</v>
      </c>
      <c r="N159" s="1" t="s">
        <v>21</v>
      </c>
      <c r="O159" s="1" t="str">
        <f>IF(OR(TBL_Employees[[#This Row],[Exit Date]],FALSE),"Left employees", "Current employees")</f>
        <v>Current employees</v>
      </c>
    </row>
    <row r="160" spans="1:15" x14ac:dyDescent="0.35">
      <c r="A160" t="s">
        <v>535</v>
      </c>
      <c r="B160" t="s">
        <v>667</v>
      </c>
      <c r="C160" t="s">
        <v>62</v>
      </c>
      <c r="D160" t="s">
        <v>65</v>
      </c>
      <c r="E160" t="s">
        <v>16</v>
      </c>
      <c r="F160" t="s">
        <v>28</v>
      </c>
      <c r="G160" t="s">
        <v>18</v>
      </c>
      <c r="H160">
        <v>55</v>
      </c>
      <c r="I160" s="1">
        <v>36644</v>
      </c>
      <c r="J160" s="2">
        <v>115798</v>
      </c>
      <c r="K160" s="3">
        <v>0.05</v>
      </c>
      <c r="L160" t="s">
        <v>19</v>
      </c>
      <c r="M160" t="s">
        <v>45</v>
      </c>
      <c r="N160" s="1" t="s">
        <v>21</v>
      </c>
      <c r="O160" s="1" t="str">
        <f>IF(OR(TBL_Employees[[#This Row],[Exit Date]],FALSE),"Left employees", "Current employees")</f>
        <v>Current employees</v>
      </c>
    </row>
    <row r="161" spans="1:15" x14ac:dyDescent="0.35">
      <c r="A161" t="s">
        <v>190</v>
      </c>
      <c r="B161" t="s">
        <v>668</v>
      </c>
      <c r="C161" t="s">
        <v>77</v>
      </c>
      <c r="D161" t="s">
        <v>23</v>
      </c>
      <c r="E161" t="s">
        <v>16</v>
      </c>
      <c r="F161" t="s">
        <v>17</v>
      </c>
      <c r="G161" t="s">
        <v>24</v>
      </c>
      <c r="H161">
        <v>58</v>
      </c>
      <c r="I161" s="1">
        <v>34567</v>
      </c>
      <c r="J161" s="2">
        <v>93102</v>
      </c>
      <c r="K161" s="3">
        <v>0</v>
      </c>
      <c r="L161" t="s">
        <v>19</v>
      </c>
      <c r="M161" t="s">
        <v>63</v>
      </c>
      <c r="N161" s="1">
        <v>41621</v>
      </c>
      <c r="O161" s="1" t="str">
        <f>IF(OR(TBL_Employees[[#This Row],[Exit Date]],FALSE),"Left employees", "Current employees")</f>
        <v>Left employees</v>
      </c>
    </row>
    <row r="162" spans="1:15" x14ac:dyDescent="0.35">
      <c r="A162" t="s">
        <v>207</v>
      </c>
      <c r="B162" t="s">
        <v>669</v>
      </c>
      <c r="C162" t="s">
        <v>97</v>
      </c>
      <c r="D162" t="s">
        <v>31</v>
      </c>
      <c r="E162" t="s">
        <v>44</v>
      </c>
      <c r="F162" t="s">
        <v>28</v>
      </c>
      <c r="G162" t="s">
        <v>24</v>
      </c>
      <c r="H162">
        <v>34</v>
      </c>
      <c r="I162" s="1">
        <v>43055</v>
      </c>
      <c r="J162" s="2">
        <v>110054</v>
      </c>
      <c r="K162" s="3">
        <v>0.15</v>
      </c>
      <c r="L162" t="s">
        <v>19</v>
      </c>
      <c r="M162" t="s">
        <v>45</v>
      </c>
      <c r="N162" s="1" t="s">
        <v>21</v>
      </c>
      <c r="O162" s="1" t="str">
        <f>IF(OR(TBL_Employees[[#This Row],[Exit Date]],FALSE),"Left employees", "Current employees")</f>
        <v>Current employees</v>
      </c>
    </row>
    <row r="163" spans="1:15" x14ac:dyDescent="0.35">
      <c r="A163" t="s">
        <v>670</v>
      </c>
      <c r="B163" t="s">
        <v>671</v>
      </c>
      <c r="C163" t="s">
        <v>30</v>
      </c>
      <c r="D163" t="s">
        <v>31</v>
      </c>
      <c r="E163" t="s">
        <v>16</v>
      </c>
      <c r="F163" t="s">
        <v>17</v>
      </c>
      <c r="G163" t="s">
        <v>47</v>
      </c>
      <c r="H163">
        <v>27</v>
      </c>
      <c r="I163" s="1">
        <v>44224</v>
      </c>
      <c r="J163" s="2">
        <v>95786</v>
      </c>
      <c r="K163" s="3">
        <v>0</v>
      </c>
      <c r="L163" t="s">
        <v>19</v>
      </c>
      <c r="M163" t="s">
        <v>20</v>
      </c>
      <c r="N163" s="1" t="s">
        <v>21</v>
      </c>
      <c r="O163" s="1" t="str">
        <f>IF(OR(TBL_Employees[[#This Row],[Exit Date]],FALSE),"Left employees", "Current employees")</f>
        <v>Current employees</v>
      </c>
    </row>
    <row r="164" spans="1:15" x14ac:dyDescent="0.35">
      <c r="A164" t="s">
        <v>672</v>
      </c>
      <c r="B164" t="s">
        <v>673</v>
      </c>
      <c r="C164" t="s">
        <v>42</v>
      </c>
      <c r="D164" t="s">
        <v>50</v>
      </c>
      <c r="E164" t="s">
        <v>44</v>
      </c>
      <c r="F164" t="s">
        <v>28</v>
      </c>
      <c r="G164" t="s">
        <v>51</v>
      </c>
      <c r="H164">
        <v>61</v>
      </c>
      <c r="I164" s="1">
        <v>42858</v>
      </c>
      <c r="J164" s="2">
        <v>90855</v>
      </c>
      <c r="K164" s="3">
        <v>0</v>
      </c>
      <c r="L164" t="s">
        <v>52</v>
      </c>
      <c r="M164" t="s">
        <v>53</v>
      </c>
      <c r="N164" s="1" t="s">
        <v>21</v>
      </c>
      <c r="O164" s="1" t="str">
        <f>IF(OR(TBL_Employees[[#This Row],[Exit Date]],FALSE),"Left employees", "Current employees")</f>
        <v>Current employees</v>
      </c>
    </row>
    <row r="165" spans="1:15" x14ac:dyDescent="0.35">
      <c r="A165" t="s">
        <v>674</v>
      </c>
      <c r="B165" t="s">
        <v>675</v>
      </c>
      <c r="C165" t="s">
        <v>26</v>
      </c>
      <c r="D165" t="s">
        <v>27</v>
      </c>
      <c r="E165" t="s">
        <v>36</v>
      </c>
      <c r="F165" t="s">
        <v>28</v>
      </c>
      <c r="G165" t="s">
        <v>51</v>
      </c>
      <c r="H165">
        <v>47</v>
      </c>
      <c r="I165" s="1">
        <v>36233</v>
      </c>
      <c r="J165" s="2">
        <v>92897</v>
      </c>
      <c r="K165" s="3">
        <v>0</v>
      </c>
      <c r="L165" t="s">
        <v>52</v>
      </c>
      <c r="M165" t="s">
        <v>53</v>
      </c>
      <c r="N165" s="1" t="s">
        <v>21</v>
      </c>
      <c r="O165" s="1" t="str">
        <f>IF(OR(TBL_Employees[[#This Row],[Exit Date]],FALSE),"Left employees", "Current employees")</f>
        <v>Current employees</v>
      </c>
    </row>
    <row r="166" spans="1:15" x14ac:dyDescent="0.35">
      <c r="A166" t="s">
        <v>272</v>
      </c>
      <c r="B166" t="s">
        <v>676</v>
      </c>
      <c r="C166" t="s">
        <v>14</v>
      </c>
      <c r="D166" t="s">
        <v>43</v>
      </c>
      <c r="E166" t="s">
        <v>44</v>
      </c>
      <c r="F166" t="s">
        <v>28</v>
      </c>
      <c r="G166" t="s">
        <v>24</v>
      </c>
      <c r="H166">
        <v>40</v>
      </c>
      <c r="I166" s="1">
        <v>39872</v>
      </c>
      <c r="J166" s="2">
        <v>242919</v>
      </c>
      <c r="K166" s="3">
        <v>0.31</v>
      </c>
      <c r="L166" t="s">
        <v>33</v>
      </c>
      <c r="M166" t="s">
        <v>80</v>
      </c>
      <c r="N166" s="1" t="s">
        <v>21</v>
      </c>
      <c r="O166" s="1" t="str">
        <f>IF(OR(TBL_Employees[[#This Row],[Exit Date]],FALSE),"Left employees", "Current employees")</f>
        <v>Current employees</v>
      </c>
    </row>
    <row r="167" spans="1:15" x14ac:dyDescent="0.35">
      <c r="A167" t="s">
        <v>210</v>
      </c>
      <c r="B167" t="s">
        <v>677</v>
      </c>
      <c r="C167" t="s">
        <v>40</v>
      </c>
      <c r="D167" t="s">
        <v>31</v>
      </c>
      <c r="E167" t="s">
        <v>44</v>
      </c>
      <c r="F167" t="s">
        <v>28</v>
      </c>
      <c r="G167" t="s">
        <v>18</v>
      </c>
      <c r="H167">
        <v>30</v>
      </c>
      <c r="I167" s="1">
        <v>43240</v>
      </c>
      <c r="J167" s="2">
        <v>184368</v>
      </c>
      <c r="K167" s="3">
        <v>0.28999999999999998</v>
      </c>
      <c r="L167" t="s">
        <v>19</v>
      </c>
      <c r="M167" t="s">
        <v>25</v>
      </c>
      <c r="N167" s="1" t="s">
        <v>21</v>
      </c>
      <c r="O167" s="1" t="str">
        <f>IF(OR(TBL_Employees[[#This Row],[Exit Date]],FALSE),"Left employees", "Current employees")</f>
        <v>Current employees</v>
      </c>
    </row>
    <row r="168" spans="1:15" x14ac:dyDescent="0.35">
      <c r="A168" t="s">
        <v>678</v>
      </c>
      <c r="B168" t="s">
        <v>679</v>
      </c>
      <c r="C168" t="s">
        <v>61</v>
      </c>
      <c r="D168" t="s">
        <v>15</v>
      </c>
      <c r="E168" t="s">
        <v>32</v>
      </c>
      <c r="F168" t="s">
        <v>28</v>
      </c>
      <c r="G168" t="s">
        <v>51</v>
      </c>
      <c r="H168">
        <v>45</v>
      </c>
      <c r="I168" s="1">
        <v>44554</v>
      </c>
      <c r="J168" s="2">
        <v>144754</v>
      </c>
      <c r="K168" s="3">
        <v>0.15</v>
      </c>
      <c r="L168" t="s">
        <v>19</v>
      </c>
      <c r="M168" t="s">
        <v>39</v>
      </c>
      <c r="N168" s="1" t="s">
        <v>21</v>
      </c>
      <c r="O168" s="1" t="str">
        <f>IF(OR(TBL_Employees[[#This Row],[Exit Date]],FALSE),"Left employees", "Current employees")</f>
        <v>Current employees</v>
      </c>
    </row>
    <row r="169" spans="1:15" x14ac:dyDescent="0.35">
      <c r="A169" t="s">
        <v>117</v>
      </c>
      <c r="B169" t="s">
        <v>680</v>
      </c>
      <c r="C169" t="s">
        <v>49</v>
      </c>
      <c r="D169" t="s">
        <v>50</v>
      </c>
      <c r="E169" t="s">
        <v>16</v>
      </c>
      <c r="F169" t="s">
        <v>17</v>
      </c>
      <c r="G169" t="s">
        <v>18</v>
      </c>
      <c r="H169">
        <v>30</v>
      </c>
      <c r="I169" s="1">
        <v>42722</v>
      </c>
      <c r="J169" s="2">
        <v>89458</v>
      </c>
      <c r="K169" s="3">
        <v>0</v>
      </c>
      <c r="L169" t="s">
        <v>19</v>
      </c>
      <c r="M169" t="s">
        <v>25</v>
      </c>
      <c r="N169" s="1" t="s">
        <v>21</v>
      </c>
      <c r="O169" s="1" t="str">
        <f>IF(OR(TBL_Employees[[#This Row],[Exit Date]],FALSE),"Left employees", "Current employees")</f>
        <v>Current employees</v>
      </c>
    </row>
    <row r="170" spans="1:15" x14ac:dyDescent="0.35">
      <c r="A170" t="s">
        <v>681</v>
      </c>
      <c r="B170" t="s">
        <v>682</v>
      </c>
      <c r="C170" t="s">
        <v>14</v>
      </c>
      <c r="D170" t="s">
        <v>65</v>
      </c>
      <c r="E170" t="s">
        <v>32</v>
      </c>
      <c r="F170" t="s">
        <v>17</v>
      </c>
      <c r="G170" t="s">
        <v>24</v>
      </c>
      <c r="H170">
        <v>56</v>
      </c>
      <c r="I170" s="1">
        <v>41714</v>
      </c>
      <c r="J170" s="2">
        <v>190815</v>
      </c>
      <c r="K170" s="3">
        <v>0.4</v>
      </c>
      <c r="L170" t="s">
        <v>19</v>
      </c>
      <c r="M170" t="s">
        <v>25</v>
      </c>
      <c r="N170" s="1" t="s">
        <v>21</v>
      </c>
      <c r="O170" s="1" t="str">
        <f>IF(OR(TBL_Employees[[#This Row],[Exit Date]],FALSE),"Left employees", "Current employees")</f>
        <v>Current employees</v>
      </c>
    </row>
    <row r="171" spans="1:15" x14ac:dyDescent="0.35">
      <c r="A171" t="s">
        <v>187</v>
      </c>
      <c r="B171" t="s">
        <v>515</v>
      </c>
      <c r="C171" t="s">
        <v>61</v>
      </c>
      <c r="D171" t="s">
        <v>50</v>
      </c>
      <c r="E171" t="s">
        <v>16</v>
      </c>
      <c r="F171" t="s">
        <v>17</v>
      </c>
      <c r="G171" t="s">
        <v>18</v>
      </c>
      <c r="H171">
        <v>62</v>
      </c>
      <c r="I171" s="1">
        <v>36374</v>
      </c>
      <c r="J171" s="2">
        <v>137995</v>
      </c>
      <c r="K171" s="3">
        <v>0.14000000000000001</v>
      </c>
      <c r="L171" t="s">
        <v>19</v>
      </c>
      <c r="M171" t="s">
        <v>25</v>
      </c>
      <c r="N171" s="1" t="s">
        <v>21</v>
      </c>
      <c r="O171" s="1" t="str">
        <f>IF(OR(TBL_Employees[[#This Row],[Exit Date]],FALSE),"Left employees", "Current employees")</f>
        <v>Current employees</v>
      </c>
    </row>
    <row r="172" spans="1:15" x14ac:dyDescent="0.35">
      <c r="A172" t="s">
        <v>683</v>
      </c>
      <c r="B172" t="s">
        <v>684</v>
      </c>
      <c r="C172" t="s">
        <v>77</v>
      </c>
      <c r="D172" t="s">
        <v>23</v>
      </c>
      <c r="E172" t="s">
        <v>36</v>
      </c>
      <c r="F172" t="s">
        <v>17</v>
      </c>
      <c r="G172" t="s">
        <v>51</v>
      </c>
      <c r="H172">
        <v>45</v>
      </c>
      <c r="I172" s="1">
        <v>39437</v>
      </c>
      <c r="J172" s="2">
        <v>93840</v>
      </c>
      <c r="K172" s="3">
        <v>0</v>
      </c>
      <c r="L172" t="s">
        <v>52</v>
      </c>
      <c r="M172" t="s">
        <v>81</v>
      </c>
      <c r="N172" s="1" t="s">
        <v>21</v>
      </c>
      <c r="O172" s="1" t="str">
        <f>IF(OR(TBL_Employees[[#This Row],[Exit Date]],FALSE),"Left employees", "Current employees")</f>
        <v>Current employees</v>
      </c>
    </row>
    <row r="173" spans="1:15" x14ac:dyDescent="0.35">
      <c r="A173" t="s">
        <v>685</v>
      </c>
      <c r="B173" t="s">
        <v>686</v>
      </c>
      <c r="C173" t="s">
        <v>55</v>
      </c>
      <c r="D173" t="s">
        <v>27</v>
      </c>
      <c r="E173" t="s">
        <v>16</v>
      </c>
      <c r="F173" t="s">
        <v>28</v>
      </c>
      <c r="G173" t="s">
        <v>24</v>
      </c>
      <c r="H173">
        <v>46</v>
      </c>
      <c r="I173" s="1">
        <v>44495</v>
      </c>
      <c r="J173" s="2">
        <v>94790</v>
      </c>
      <c r="K173" s="3">
        <v>0</v>
      </c>
      <c r="L173" t="s">
        <v>33</v>
      </c>
      <c r="M173" t="s">
        <v>80</v>
      </c>
      <c r="N173" s="1" t="s">
        <v>21</v>
      </c>
      <c r="O173" s="1" t="str">
        <f>IF(OR(TBL_Employees[[#This Row],[Exit Date]],FALSE),"Left employees", "Current employees")</f>
        <v>Current employees</v>
      </c>
    </row>
    <row r="174" spans="1:15" x14ac:dyDescent="0.35">
      <c r="A174" t="s">
        <v>201</v>
      </c>
      <c r="B174" t="s">
        <v>687</v>
      </c>
      <c r="C174" t="s">
        <v>14</v>
      </c>
      <c r="D174" t="s">
        <v>23</v>
      </c>
      <c r="E174" t="s">
        <v>16</v>
      </c>
      <c r="F174" t="s">
        <v>28</v>
      </c>
      <c r="G174" t="s">
        <v>24</v>
      </c>
      <c r="H174">
        <v>48</v>
      </c>
      <c r="I174" s="1">
        <v>41706</v>
      </c>
      <c r="J174" s="2">
        <v>197367</v>
      </c>
      <c r="K174" s="3">
        <v>0.39</v>
      </c>
      <c r="L174" t="s">
        <v>19</v>
      </c>
      <c r="M174" t="s">
        <v>25</v>
      </c>
      <c r="N174" s="1" t="s">
        <v>21</v>
      </c>
      <c r="O174" s="1" t="str">
        <f>IF(OR(TBL_Employees[[#This Row],[Exit Date]],FALSE),"Left employees", "Current employees")</f>
        <v>Current employees</v>
      </c>
    </row>
    <row r="175" spans="1:15" x14ac:dyDescent="0.35">
      <c r="A175" t="s">
        <v>235</v>
      </c>
      <c r="B175" t="s">
        <v>688</v>
      </c>
      <c r="C175" t="s">
        <v>40</v>
      </c>
      <c r="D175" t="s">
        <v>65</v>
      </c>
      <c r="E175" t="s">
        <v>36</v>
      </c>
      <c r="F175" t="s">
        <v>17</v>
      </c>
      <c r="G175" t="s">
        <v>51</v>
      </c>
      <c r="H175">
        <v>27</v>
      </c>
      <c r="I175" s="1">
        <v>43276</v>
      </c>
      <c r="J175" s="2">
        <v>174097</v>
      </c>
      <c r="K175" s="3">
        <v>0.21</v>
      </c>
      <c r="L175" t="s">
        <v>19</v>
      </c>
      <c r="M175" t="s">
        <v>39</v>
      </c>
      <c r="N175" s="1" t="s">
        <v>21</v>
      </c>
      <c r="O175" s="1" t="str">
        <f>IF(OR(TBL_Employees[[#This Row],[Exit Date]],FALSE),"Left employees", "Current employees")</f>
        <v>Current employees</v>
      </c>
    </row>
    <row r="176" spans="1:15" x14ac:dyDescent="0.35">
      <c r="A176" t="s">
        <v>689</v>
      </c>
      <c r="B176" t="s">
        <v>690</v>
      </c>
      <c r="C176" t="s">
        <v>62</v>
      </c>
      <c r="D176" t="s">
        <v>27</v>
      </c>
      <c r="E176" t="s">
        <v>44</v>
      </c>
      <c r="F176" t="s">
        <v>28</v>
      </c>
      <c r="G176" t="s">
        <v>51</v>
      </c>
      <c r="H176">
        <v>53</v>
      </c>
      <c r="I176" s="1">
        <v>39021</v>
      </c>
      <c r="J176" s="2">
        <v>120128</v>
      </c>
      <c r="K176" s="3">
        <v>0.1</v>
      </c>
      <c r="L176" t="s">
        <v>19</v>
      </c>
      <c r="M176" t="s">
        <v>25</v>
      </c>
      <c r="N176" s="1" t="s">
        <v>21</v>
      </c>
      <c r="O176" s="1" t="str">
        <f>IF(OR(TBL_Employees[[#This Row],[Exit Date]],FALSE),"Left employees", "Current employees")</f>
        <v>Current employees</v>
      </c>
    </row>
    <row r="177" spans="1:15" x14ac:dyDescent="0.35">
      <c r="A177" t="s">
        <v>691</v>
      </c>
      <c r="B177" t="s">
        <v>692</v>
      </c>
      <c r="C177" t="s">
        <v>62</v>
      </c>
      <c r="D177" t="s">
        <v>43</v>
      </c>
      <c r="E177" t="s">
        <v>36</v>
      </c>
      <c r="F177" t="s">
        <v>17</v>
      </c>
      <c r="G177" t="s">
        <v>18</v>
      </c>
      <c r="H177">
        <v>59</v>
      </c>
      <c r="I177" s="1">
        <v>39197</v>
      </c>
      <c r="J177" s="2">
        <v>129708</v>
      </c>
      <c r="K177" s="3">
        <v>0.05</v>
      </c>
      <c r="L177" t="s">
        <v>19</v>
      </c>
      <c r="M177" t="s">
        <v>45</v>
      </c>
      <c r="N177" s="1" t="s">
        <v>21</v>
      </c>
      <c r="O177" s="1" t="str">
        <f>IF(OR(TBL_Employees[[#This Row],[Exit Date]],FALSE),"Left employees", "Current employees")</f>
        <v>Current employees</v>
      </c>
    </row>
    <row r="178" spans="1:15" x14ac:dyDescent="0.35">
      <c r="A178" t="s">
        <v>693</v>
      </c>
      <c r="B178" t="s">
        <v>694</v>
      </c>
      <c r="C178" t="s">
        <v>62</v>
      </c>
      <c r="D178" t="s">
        <v>43</v>
      </c>
      <c r="E178" t="s">
        <v>16</v>
      </c>
      <c r="F178" t="s">
        <v>28</v>
      </c>
      <c r="G178" t="s">
        <v>24</v>
      </c>
      <c r="H178">
        <v>55</v>
      </c>
      <c r="I178" s="1">
        <v>34595</v>
      </c>
      <c r="J178" s="2">
        <v>102270</v>
      </c>
      <c r="K178" s="3">
        <v>0.1</v>
      </c>
      <c r="L178" t="s">
        <v>19</v>
      </c>
      <c r="M178" t="s">
        <v>20</v>
      </c>
      <c r="N178" s="1" t="s">
        <v>21</v>
      </c>
      <c r="O178" s="1" t="str">
        <f>IF(OR(TBL_Employees[[#This Row],[Exit Date]],FALSE),"Left employees", "Current employees")</f>
        <v>Current employees</v>
      </c>
    </row>
    <row r="179" spans="1:15" x14ac:dyDescent="0.35">
      <c r="A179" t="s">
        <v>226</v>
      </c>
      <c r="B179" t="s">
        <v>695</v>
      </c>
      <c r="C179" t="s">
        <v>14</v>
      </c>
      <c r="D179" t="s">
        <v>15</v>
      </c>
      <c r="E179" t="s">
        <v>44</v>
      </c>
      <c r="F179" t="s">
        <v>17</v>
      </c>
      <c r="G179" t="s">
        <v>24</v>
      </c>
      <c r="H179">
        <v>43</v>
      </c>
      <c r="I179" s="1">
        <v>38564</v>
      </c>
      <c r="J179" s="2">
        <v>249686</v>
      </c>
      <c r="K179" s="3">
        <v>0.31</v>
      </c>
      <c r="L179" t="s">
        <v>33</v>
      </c>
      <c r="M179" t="s">
        <v>80</v>
      </c>
      <c r="N179" s="1" t="s">
        <v>21</v>
      </c>
      <c r="O179" s="1" t="str">
        <f>IF(OR(TBL_Employees[[#This Row],[Exit Date]],FALSE),"Left employees", "Current employees")</f>
        <v>Current employees</v>
      </c>
    </row>
    <row r="180" spans="1:15" x14ac:dyDescent="0.35">
      <c r="A180" t="s">
        <v>259</v>
      </c>
      <c r="B180" t="s">
        <v>696</v>
      </c>
      <c r="C180" t="s">
        <v>68</v>
      </c>
      <c r="D180" t="s">
        <v>15</v>
      </c>
      <c r="E180" t="s">
        <v>36</v>
      </c>
      <c r="F180" t="s">
        <v>17</v>
      </c>
      <c r="G180" t="s">
        <v>24</v>
      </c>
      <c r="H180">
        <v>55</v>
      </c>
      <c r="I180" s="1">
        <v>37343</v>
      </c>
      <c r="J180" s="2">
        <v>50475</v>
      </c>
      <c r="K180" s="3">
        <v>0</v>
      </c>
      <c r="L180" t="s">
        <v>19</v>
      </c>
      <c r="M180" t="s">
        <v>29</v>
      </c>
      <c r="N180" s="1" t="s">
        <v>21</v>
      </c>
      <c r="O180" s="1" t="str">
        <f>IF(OR(TBL_Employees[[#This Row],[Exit Date]],FALSE),"Left employees", "Current employees")</f>
        <v>Current employees</v>
      </c>
    </row>
    <row r="181" spans="1:15" x14ac:dyDescent="0.35">
      <c r="A181" t="s">
        <v>697</v>
      </c>
      <c r="B181" t="s">
        <v>698</v>
      </c>
      <c r="C181" t="s">
        <v>62</v>
      </c>
      <c r="D181" t="s">
        <v>43</v>
      </c>
      <c r="E181" t="s">
        <v>16</v>
      </c>
      <c r="F181" t="s">
        <v>28</v>
      </c>
      <c r="G181" t="s">
        <v>18</v>
      </c>
      <c r="H181">
        <v>51</v>
      </c>
      <c r="I181" s="1">
        <v>44014</v>
      </c>
      <c r="J181" s="2">
        <v>100099</v>
      </c>
      <c r="K181" s="3">
        <v>0.08</v>
      </c>
      <c r="L181" t="s">
        <v>19</v>
      </c>
      <c r="M181" t="s">
        <v>45</v>
      </c>
      <c r="N181" s="1" t="s">
        <v>21</v>
      </c>
      <c r="O181" s="1" t="str">
        <f>IF(OR(TBL_Employees[[#This Row],[Exit Date]],FALSE),"Left employees", "Current employees")</f>
        <v>Current employees</v>
      </c>
    </row>
    <row r="182" spans="1:15" x14ac:dyDescent="0.35">
      <c r="A182" t="s">
        <v>699</v>
      </c>
      <c r="B182" t="s">
        <v>700</v>
      </c>
      <c r="C182" t="s">
        <v>73</v>
      </c>
      <c r="D182" t="s">
        <v>27</v>
      </c>
      <c r="E182" t="s">
        <v>36</v>
      </c>
      <c r="F182" t="s">
        <v>17</v>
      </c>
      <c r="G182" t="s">
        <v>18</v>
      </c>
      <c r="H182">
        <v>54</v>
      </c>
      <c r="I182" s="1">
        <v>42731</v>
      </c>
      <c r="J182" s="2">
        <v>41673</v>
      </c>
      <c r="K182" s="3">
        <v>0</v>
      </c>
      <c r="L182" t="s">
        <v>19</v>
      </c>
      <c r="M182" t="s">
        <v>45</v>
      </c>
      <c r="N182" s="1" t="s">
        <v>21</v>
      </c>
      <c r="O182" s="1" t="str">
        <f>IF(OR(TBL_Employees[[#This Row],[Exit Date]],FALSE),"Left employees", "Current employees")</f>
        <v>Current employees</v>
      </c>
    </row>
    <row r="183" spans="1:15" x14ac:dyDescent="0.35">
      <c r="A183" t="s">
        <v>256</v>
      </c>
      <c r="B183" t="s">
        <v>701</v>
      </c>
      <c r="C183" t="s">
        <v>42</v>
      </c>
      <c r="D183" t="s">
        <v>43</v>
      </c>
      <c r="E183" t="s">
        <v>44</v>
      </c>
      <c r="F183" t="s">
        <v>17</v>
      </c>
      <c r="G183" t="s">
        <v>24</v>
      </c>
      <c r="H183">
        <v>47</v>
      </c>
      <c r="I183" s="1">
        <v>42928</v>
      </c>
      <c r="J183" s="2">
        <v>70996</v>
      </c>
      <c r="K183" s="3">
        <v>0</v>
      </c>
      <c r="L183" t="s">
        <v>33</v>
      </c>
      <c r="M183" t="s">
        <v>34</v>
      </c>
      <c r="N183" s="1" t="s">
        <v>21</v>
      </c>
      <c r="O183" s="1" t="str">
        <f>IF(OR(TBL_Employees[[#This Row],[Exit Date]],FALSE),"Left employees", "Current employees")</f>
        <v>Current employees</v>
      </c>
    </row>
    <row r="184" spans="1:15" x14ac:dyDescent="0.35">
      <c r="A184" t="s">
        <v>702</v>
      </c>
      <c r="B184" t="s">
        <v>703</v>
      </c>
      <c r="C184" t="s">
        <v>68</v>
      </c>
      <c r="D184" t="s">
        <v>43</v>
      </c>
      <c r="E184" t="s">
        <v>32</v>
      </c>
      <c r="F184" t="s">
        <v>28</v>
      </c>
      <c r="G184" t="s">
        <v>18</v>
      </c>
      <c r="H184">
        <v>55</v>
      </c>
      <c r="I184" s="1">
        <v>38328</v>
      </c>
      <c r="J184" s="2">
        <v>40752</v>
      </c>
      <c r="K184" s="3">
        <v>0</v>
      </c>
      <c r="L184" t="s">
        <v>19</v>
      </c>
      <c r="M184" t="s">
        <v>39</v>
      </c>
      <c r="N184" s="1" t="s">
        <v>21</v>
      </c>
      <c r="O184" s="1" t="str">
        <f>IF(OR(TBL_Employees[[#This Row],[Exit Date]],FALSE),"Left employees", "Current employees")</f>
        <v>Current employees</v>
      </c>
    </row>
    <row r="185" spans="1:15" x14ac:dyDescent="0.35">
      <c r="A185" t="s">
        <v>704</v>
      </c>
      <c r="B185" t="s">
        <v>705</v>
      </c>
      <c r="C185" t="s">
        <v>35</v>
      </c>
      <c r="D185" t="s">
        <v>27</v>
      </c>
      <c r="E185" t="s">
        <v>36</v>
      </c>
      <c r="F185" t="s">
        <v>17</v>
      </c>
      <c r="G185" t="s">
        <v>24</v>
      </c>
      <c r="H185">
        <v>50</v>
      </c>
      <c r="I185" s="1">
        <v>36914</v>
      </c>
      <c r="J185" s="2">
        <v>97537</v>
      </c>
      <c r="K185" s="3">
        <v>0</v>
      </c>
      <c r="L185" t="s">
        <v>33</v>
      </c>
      <c r="M185" t="s">
        <v>34</v>
      </c>
      <c r="N185" s="1" t="s">
        <v>21</v>
      </c>
      <c r="O185" s="1" t="str">
        <f>IF(OR(TBL_Employees[[#This Row],[Exit Date]],FALSE),"Left employees", "Current employees")</f>
        <v>Current employees</v>
      </c>
    </row>
    <row r="186" spans="1:15" x14ac:dyDescent="0.35">
      <c r="A186" t="s">
        <v>405</v>
      </c>
      <c r="B186" t="s">
        <v>706</v>
      </c>
      <c r="C186" t="s">
        <v>91</v>
      </c>
      <c r="D186" t="s">
        <v>27</v>
      </c>
      <c r="E186" t="s">
        <v>16</v>
      </c>
      <c r="F186" t="s">
        <v>28</v>
      </c>
      <c r="G186" t="s">
        <v>24</v>
      </c>
      <c r="H186">
        <v>31</v>
      </c>
      <c r="I186" s="1">
        <v>44086</v>
      </c>
      <c r="J186" s="2">
        <v>96567</v>
      </c>
      <c r="K186" s="3">
        <v>0</v>
      </c>
      <c r="L186" t="s">
        <v>33</v>
      </c>
      <c r="M186" t="s">
        <v>74</v>
      </c>
      <c r="N186" s="1" t="s">
        <v>21</v>
      </c>
      <c r="O186" s="1" t="str">
        <f>IF(OR(TBL_Employees[[#This Row],[Exit Date]],FALSE),"Left employees", "Current employees")</f>
        <v>Current employees</v>
      </c>
    </row>
    <row r="187" spans="1:15" x14ac:dyDescent="0.35">
      <c r="A187" t="s">
        <v>445</v>
      </c>
      <c r="B187" t="s">
        <v>707</v>
      </c>
      <c r="C187" t="s">
        <v>76</v>
      </c>
      <c r="D187" t="s">
        <v>27</v>
      </c>
      <c r="E187" t="s">
        <v>44</v>
      </c>
      <c r="F187" t="s">
        <v>28</v>
      </c>
      <c r="G187" t="s">
        <v>24</v>
      </c>
      <c r="H187">
        <v>47</v>
      </c>
      <c r="I187" s="1">
        <v>36229</v>
      </c>
      <c r="J187" s="2">
        <v>49404</v>
      </c>
      <c r="K187" s="3">
        <v>0</v>
      </c>
      <c r="L187" t="s">
        <v>33</v>
      </c>
      <c r="M187" t="s">
        <v>60</v>
      </c>
      <c r="N187" s="1" t="s">
        <v>21</v>
      </c>
      <c r="O187" s="1" t="str">
        <f>IF(OR(TBL_Employees[[#This Row],[Exit Date]],FALSE),"Left employees", "Current employees")</f>
        <v>Current employees</v>
      </c>
    </row>
    <row r="188" spans="1:15" x14ac:dyDescent="0.35">
      <c r="A188" t="s">
        <v>708</v>
      </c>
      <c r="B188" t="s">
        <v>709</v>
      </c>
      <c r="C188" t="s">
        <v>91</v>
      </c>
      <c r="D188" t="s">
        <v>27</v>
      </c>
      <c r="E188" t="s">
        <v>16</v>
      </c>
      <c r="F188" t="s">
        <v>28</v>
      </c>
      <c r="G188" t="s">
        <v>51</v>
      </c>
      <c r="H188">
        <v>29</v>
      </c>
      <c r="I188" s="1">
        <v>43753</v>
      </c>
      <c r="J188" s="2">
        <v>66819</v>
      </c>
      <c r="K188" s="3">
        <v>0</v>
      </c>
      <c r="L188" t="s">
        <v>52</v>
      </c>
      <c r="M188" t="s">
        <v>66</v>
      </c>
      <c r="N188" s="1" t="s">
        <v>21</v>
      </c>
      <c r="O188" s="1" t="str">
        <f>IF(OR(TBL_Employees[[#This Row],[Exit Date]],FALSE),"Left employees", "Current employees")</f>
        <v>Current employees</v>
      </c>
    </row>
    <row r="189" spans="1:15" x14ac:dyDescent="0.35">
      <c r="A189" t="s">
        <v>710</v>
      </c>
      <c r="B189" t="s">
        <v>711</v>
      </c>
      <c r="C189" t="s">
        <v>68</v>
      </c>
      <c r="D189" t="s">
        <v>43</v>
      </c>
      <c r="E189" t="s">
        <v>44</v>
      </c>
      <c r="F189" t="s">
        <v>28</v>
      </c>
      <c r="G189" t="s">
        <v>51</v>
      </c>
      <c r="H189">
        <v>38</v>
      </c>
      <c r="I189" s="1">
        <v>42492</v>
      </c>
      <c r="J189" s="2">
        <v>50784</v>
      </c>
      <c r="K189" s="3">
        <v>0</v>
      </c>
      <c r="L189" t="s">
        <v>52</v>
      </c>
      <c r="M189" t="s">
        <v>66</v>
      </c>
      <c r="N189" s="1" t="s">
        <v>21</v>
      </c>
      <c r="O189" s="1" t="str">
        <f>IF(OR(TBL_Employees[[#This Row],[Exit Date]],FALSE),"Left employees", "Current employees")</f>
        <v>Current employees</v>
      </c>
    </row>
    <row r="190" spans="1:15" x14ac:dyDescent="0.35">
      <c r="A190" t="s">
        <v>287</v>
      </c>
      <c r="B190" t="s">
        <v>712</v>
      </c>
      <c r="C190" t="s">
        <v>61</v>
      </c>
      <c r="D190" t="s">
        <v>23</v>
      </c>
      <c r="E190" t="s">
        <v>16</v>
      </c>
      <c r="F190" t="s">
        <v>28</v>
      </c>
      <c r="G190" t="s">
        <v>51</v>
      </c>
      <c r="H190">
        <v>29</v>
      </c>
      <c r="I190" s="1">
        <v>43594</v>
      </c>
      <c r="J190" s="2">
        <v>125828</v>
      </c>
      <c r="K190" s="3">
        <v>0.15</v>
      </c>
      <c r="L190" t="s">
        <v>52</v>
      </c>
      <c r="M190" t="s">
        <v>53</v>
      </c>
      <c r="N190" s="1" t="s">
        <v>21</v>
      </c>
      <c r="O190" s="1" t="str">
        <f>IF(OR(TBL_Employees[[#This Row],[Exit Date]],FALSE),"Left employees", "Current employees")</f>
        <v>Current employees</v>
      </c>
    </row>
    <row r="191" spans="1:15" x14ac:dyDescent="0.35">
      <c r="A191" t="s">
        <v>208</v>
      </c>
      <c r="B191" t="s">
        <v>713</v>
      </c>
      <c r="C191" t="s">
        <v>77</v>
      </c>
      <c r="D191" t="s">
        <v>23</v>
      </c>
      <c r="E191" t="s">
        <v>36</v>
      </c>
      <c r="F191" t="s">
        <v>28</v>
      </c>
      <c r="G191" t="s">
        <v>18</v>
      </c>
      <c r="H191">
        <v>33</v>
      </c>
      <c r="I191" s="1">
        <v>42951</v>
      </c>
      <c r="J191" s="2">
        <v>92610</v>
      </c>
      <c r="K191" s="3">
        <v>0</v>
      </c>
      <c r="L191" t="s">
        <v>19</v>
      </c>
      <c r="M191" t="s">
        <v>29</v>
      </c>
      <c r="N191" s="1" t="s">
        <v>21</v>
      </c>
      <c r="O191" s="1" t="str">
        <f>IF(OR(TBL_Employees[[#This Row],[Exit Date]],FALSE),"Left employees", "Current employees")</f>
        <v>Current employees</v>
      </c>
    </row>
    <row r="192" spans="1:15" x14ac:dyDescent="0.35">
      <c r="A192" t="s">
        <v>714</v>
      </c>
      <c r="B192" t="s">
        <v>715</v>
      </c>
      <c r="C192" t="s">
        <v>61</v>
      </c>
      <c r="D192" t="s">
        <v>50</v>
      </c>
      <c r="E192" t="s">
        <v>44</v>
      </c>
      <c r="F192" t="s">
        <v>28</v>
      </c>
      <c r="G192" t="s">
        <v>18</v>
      </c>
      <c r="H192">
        <v>50</v>
      </c>
      <c r="I192" s="1">
        <v>37705</v>
      </c>
      <c r="J192" s="2">
        <v>123405</v>
      </c>
      <c r="K192" s="3">
        <v>0.13</v>
      </c>
      <c r="L192" t="s">
        <v>19</v>
      </c>
      <c r="M192" t="s">
        <v>29</v>
      </c>
      <c r="N192" s="1" t="s">
        <v>21</v>
      </c>
      <c r="O192" s="1" t="str">
        <f>IF(OR(TBL_Employees[[#This Row],[Exit Date]],FALSE),"Left employees", "Current employees")</f>
        <v>Current employees</v>
      </c>
    </row>
    <row r="193" spans="1:15" x14ac:dyDescent="0.35">
      <c r="A193" t="s">
        <v>716</v>
      </c>
      <c r="B193" t="s">
        <v>348</v>
      </c>
      <c r="C193" t="s">
        <v>94</v>
      </c>
      <c r="D193" t="s">
        <v>50</v>
      </c>
      <c r="E193" t="s">
        <v>36</v>
      </c>
      <c r="F193" t="s">
        <v>17</v>
      </c>
      <c r="G193" t="s">
        <v>24</v>
      </c>
      <c r="H193">
        <v>46</v>
      </c>
      <c r="I193" s="1">
        <v>38066</v>
      </c>
      <c r="J193" s="2">
        <v>73004</v>
      </c>
      <c r="K193" s="3">
        <v>0</v>
      </c>
      <c r="L193" t="s">
        <v>33</v>
      </c>
      <c r="M193" t="s">
        <v>60</v>
      </c>
      <c r="N193" s="1" t="s">
        <v>21</v>
      </c>
      <c r="O193" s="1" t="str">
        <f>IF(OR(TBL_Employees[[#This Row],[Exit Date]],FALSE),"Left employees", "Current employees")</f>
        <v>Current employees</v>
      </c>
    </row>
    <row r="194" spans="1:15" x14ac:dyDescent="0.35">
      <c r="A194" t="s">
        <v>717</v>
      </c>
      <c r="B194" t="s">
        <v>718</v>
      </c>
      <c r="C194" t="s">
        <v>97</v>
      </c>
      <c r="D194" t="s">
        <v>31</v>
      </c>
      <c r="E194" t="s">
        <v>32</v>
      </c>
      <c r="F194" t="s">
        <v>28</v>
      </c>
      <c r="G194" t="s">
        <v>24</v>
      </c>
      <c r="H194">
        <v>57</v>
      </c>
      <c r="I194" s="1">
        <v>36275</v>
      </c>
      <c r="J194" s="2">
        <v>95061</v>
      </c>
      <c r="K194" s="3">
        <v>0.1</v>
      </c>
      <c r="L194" t="s">
        <v>33</v>
      </c>
      <c r="M194" t="s">
        <v>74</v>
      </c>
      <c r="N194" s="1" t="s">
        <v>21</v>
      </c>
      <c r="O194" s="1" t="str">
        <f>IF(OR(TBL_Employees[[#This Row],[Exit Date]],FALSE),"Left employees", "Current employees")</f>
        <v>Current employees</v>
      </c>
    </row>
    <row r="195" spans="1:15" x14ac:dyDescent="0.35">
      <c r="A195" t="s">
        <v>185</v>
      </c>
      <c r="B195" t="s">
        <v>719</v>
      </c>
      <c r="C195" t="s">
        <v>40</v>
      </c>
      <c r="D195" t="s">
        <v>50</v>
      </c>
      <c r="E195" t="s">
        <v>32</v>
      </c>
      <c r="F195" t="s">
        <v>17</v>
      </c>
      <c r="G195" t="s">
        <v>51</v>
      </c>
      <c r="H195">
        <v>49</v>
      </c>
      <c r="I195" s="1">
        <v>35887</v>
      </c>
      <c r="J195" s="2">
        <v>160832</v>
      </c>
      <c r="K195" s="3">
        <v>0.3</v>
      </c>
      <c r="L195" t="s">
        <v>19</v>
      </c>
      <c r="M195" t="s">
        <v>39</v>
      </c>
      <c r="N195" s="1" t="s">
        <v>21</v>
      </c>
      <c r="O195" s="1" t="str">
        <f>IF(OR(TBL_Employees[[#This Row],[Exit Date]],FALSE),"Left employees", "Current employees")</f>
        <v>Current employees</v>
      </c>
    </row>
    <row r="196" spans="1:15" x14ac:dyDescent="0.35">
      <c r="A196" t="s">
        <v>720</v>
      </c>
      <c r="B196" t="s">
        <v>721</v>
      </c>
      <c r="C196" t="s">
        <v>82</v>
      </c>
      <c r="D196" t="s">
        <v>27</v>
      </c>
      <c r="E196" t="s">
        <v>36</v>
      </c>
      <c r="F196" t="s">
        <v>28</v>
      </c>
      <c r="G196" t="s">
        <v>47</v>
      </c>
      <c r="H196">
        <v>54</v>
      </c>
      <c r="I196" s="1">
        <v>40540</v>
      </c>
      <c r="J196" s="2">
        <v>64417</v>
      </c>
      <c r="K196" s="3">
        <v>0</v>
      </c>
      <c r="L196" t="s">
        <v>19</v>
      </c>
      <c r="M196" t="s">
        <v>29</v>
      </c>
      <c r="N196" s="1" t="s">
        <v>21</v>
      </c>
      <c r="O196" s="1" t="str">
        <f>IF(OR(TBL_Employees[[#This Row],[Exit Date]],FALSE),"Left employees", "Current employees")</f>
        <v>Current employees</v>
      </c>
    </row>
    <row r="197" spans="1:15" x14ac:dyDescent="0.35">
      <c r="A197" t="s">
        <v>722</v>
      </c>
      <c r="B197" t="s">
        <v>723</v>
      </c>
      <c r="C197" t="s">
        <v>62</v>
      </c>
      <c r="D197" t="s">
        <v>50</v>
      </c>
      <c r="E197" t="s">
        <v>32</v>
      </c>
      <c r="F197" t="s">
        <v>28</v>
      </c>
      <c r="G197" t="s">
        <v>24</v>
      </c>
      <c r="H197">
        <v>28</v>
      </c>
      <c r="I197" s="1">
        <v>44274</v>
      </c>
      <c r="J197" s="2">
        <v>127543</v>
      </c>
      <c r="K197" s="3">
        <v>0.06</v>
      </c>
      <c r="L197" t="s">
        <v>33</v>
      </c>
      <c r="M197" t="s">
        <v>74</v>
      </c>
      <c r="N197" s="1" t="s">
        <v>21</v>
      </c>
      <c r="O197" s="1" t="str">
        <f>IF(OR(TBL_Employees[[#This Row],[Exit Date]],FALSE),"Left employees", "Current employees")</f>
        <v>Current employees</v>
      </c>
    </row>
    <row r="198" spans="1:15" x14ac:dyDescent="0.35">
      <c r="A198" t="s">
        <v>724</v>
      </c>
      <c r="B198" t="s">
        <v>725</v>
      </c>
      <c r="C198" t="s">
        <v>68</v>
      </c>
      <c r="D198" t="s">
        <v>43</v>
      </c>
      <c r="E198" t="s">
        <v>36</v>
      </c>
      <c r="F198" t="s">
        <v>28</v>
      </c>
      <c r="G198" t="s">
        <v>51</v>
      </c>
      <c r="H198">
        <v>30</v>
      </c>
      <c r="I198" s="1">
        <v>43272</v>
      </c>
      <c r="J198" s="2">
        <v>56154</v>
      </c>
      <c r="K198" s="3">
        <v>0</v>
      </c>
      <c r="L198" t="s">
        <v>52</v>
      </c>
      <c r="M198" t="s">
        <v>53</v>
      </c>
      <c r="N198" s="1" t="s">
        <v>21</v>
      </c>
      <c r="O198" s="1" t="str">
        <f>IF(OR(TBL_Employees[[#This Row],[Exit Date]],FALSE),"Left employees", "Current employees")</f>
        <v>Current employees</v>
      </c>
    </row>
    <row r="199" spans="1:15" x14ac:dyDescent="0.35">
      <c r="A199" t="s">
        <v>189</v>
      </c>
      <c r="B199" t="s">
        <v>726</v>
      </c>
      <c r="C199" t="s">
        <v>14</v>
      </c>
      <c r="D199" t="s">
        <v>50</v>
      </c>
      <c r="E199" t="s">
        <v>36</v>
      </c>
      <c r="F199" t="s">
        <v>17</v>
      </c>
      <c r="G199" t="s">
        <v>24</v>
      </c>
      <c r="H199">
        <v>36</v>
      </c>
      <c r="I199" s="1">
        <v>41692</v>
      </c>
      <c r="J199" s="2">
        <v>218530</v>
      </c>
      <c r="K199" s="3">
        <v>0.3</v>
      </c>
      <c r="L199" t="s">
        <v>33</v>
      </c>
      <c r="M199" t="s">
        <v>74</v>
      </c>
      <c r="N199" s="1" t="s">
        <v>21</v>
      </c>
      <c r="O199" s="1" t="str">
        <f>IF(OR(TBL_Employees[[#This Row],[Exit Date]],FALSE),"Left employees", "Current employees")</f>
        <v>Current employees</v>
      </c>
    </row>
    <row r="200" spans="1:15" x14ac:dyDescent="0.35">
      <c r="A200" t="s">
        <v>727</v>
      </c>
      <c r="B200" t="s">
        <v>728</v>
      </c>
      <c r="C200" t="s">
        <v>82</v>
      </c>
      <c r="D200" t="s">
        <v>27</v>
      </c>
      <c r="E200" t="s">
        <v>36</v>
      </c>
      <c r="F200" t="s">
        <v>17</v>
      </c>
      <c r="G200" t="s">
        <v>51</v>
      </c>
      <c r="H200">
        <v>36</v>
      </c>
      <c r="I200" s="1">
        <v>43818</v>
      </c>
      <c r="J200" s="2">
        <v>91954</v>
      </c>
      <c r="K200" s="3">
        <v>0</v>
      </c>
      <c r="L200" t="s">
        <v>19</v>
      </c>
      <c r="M200" t="s">
        <v>29</v>
      </c>
      <c r="N200" s="1" t="s">
        <v>21</v>
      </c>
      <c r="O200" s="1" t="str">
        <f>IF(OR(TBL_Employees[[#This Row],[Exit Date]],FALSE),"Left employees", "Current employees")</f>
        <v>Current employees</v>
      </c>
    </row>
    <row r="201" spans="1:15" x14ac:dyDescent="0.35">
      <c r="A201" t="s">
        <v>729</v>
      </c>
      <c r="B201" t="s">
        <v>730</v>
      </c>
      <c r="C201" t="s">
        <v>14</v>
      </c>
      <c r="D201" t="s">
        <v>43</v>
      </c>
      <c r="E201" t="s">
        <v>32</v>
      </c>
      <c r="F201" t="s">
        <v>17</v>
      </c>
      <c r="G201" t="s">
        <v>47</v>
      </c>
      <c r="H201">
        <v>30</v>
      </c>
      <c r="I201" s="1">
        <v>42634</v>
      </c>
      <c r="J201" s="2">
        <v>221217</v>
      </c>
      <c r="K201" s="3">
        <v>0.32</v>
      </c>
      <c r="L201" t="s">
        <v>19</v>
      </c>
      <c r="M201" t="s">
        <v>29</v>
      </c>
      <c r="N201" s="1">
        <v>43003</v>
      </c>
      <c r="O201" s="1" t="str">
        <f>IF(OR(TBL_Employees[[#This Row],[Exit Date]],FALSE),"Left employees", "Current employees")</f>
        <v>Left employees</v>
      </c>
    </row>
    <row r="202" spans="1:15" x14ac:dyDescent="0.35">
      <c r="A202" t="s">
        <v>332</v>
      </c>
      <c r="B202" t="s">
        <v>731</v>
      </c>
      <c r="C202" t="s">
        <v>98</v>
      </c>
      <c r="D202" t="s">
        <v>27</v>
      </c>
      <c r="E202" t="s">
        <v>36</v>
      </c>
      <c r="F202" t="s">
        <v>28</v>
      </c>
      <c r="G202" t="s">
        <v>51</v>
      </c>
      <c r="H202">
        <v>29</v>
      </c>
      <c r="I202" s="1">
        <v>42866</v>
      </c>
      <c r="J202" s="2">
        <v>87536</v>
      </c>
      <c r="K202" s="3">
        <v>0</v>
      </c>
      <c r="L202" t="s">
        <v>19</v>
      </c>
      <c r="M202" t="s">
        <v>63</v>
      </c>
      <c r="N202" s="1" t="s">
        <v>21</v>
      </c>
      <c r="O202" s="1" t="str">
        <f>IF(OR(TBL_Employees[[#This Row],[Exit Date]],FALSE),"Left employees", "Current employees")</f>
        <v>Current employees</v>
      </c>
    </row>
    <row r="203" spans="1:15" x14ac:dyDescent="0.35">
      <c r="A203" t="s">
        <v>184</v>
      </c>
      <c r="B203" t="s">
        <v>732</v>
      </c>
      <c r="C203" t="s">
        <v>68</v>
      </c>
      <c r="D203" t="s">
        <v>50</v>
      </c>
      <c r="E203" t="s">
        <v>32</v>
      </c>
      <c r="F203" t="s">
        <v>17</v>
      </c>
      <c r="G203" t="s">
        <v>51</v>
      </c>
      <c r="H203">
        <v>47</v>
      </c>
      <c r="I203" s="1">
        <v>42164</v>
      </c>
      <c r="J203" s="2">
        <v>41429</v>
      </c>
      <c r="K203" s="3">
        <v>0</v>
      </c>
      <c r="L203" t="s">
        <v>19</v>
      </c>
      <c r="M203" t="s">
        <v>63</v>
      </c>
      <c r="N203" s="1" t="s">
        <v>21</v>
      </c>
      <c r="O203" s="1" t="str">
        <f>IF(OR(TBL_Employees[[#This Row],[Exit Date]],FALSE),"Left employees", "Current employees")</f>
        <v>Current employees</v>
      </c>
    </row>
    <row r="204" spans="1:15" x14ac:dyDescent="0.35">
      <c r="A204" t="s">
        <v>733</v>
      </c>
      <c r="B204" t="s">
        <v>734</v>
      </c>
      <c r="C204" t="s">
        <v>14</v>
      </c>
      <c r="D204" t="s">
        <v>31</v>
      </c>
      <c r="E204" t="s">
        <v>36</v>
      </c>
      <c r="F204" t="s">
        <v>28</v>
      </c>
      <c r="G204" t="s">
        <v>24</v>
      </c>
      <c r="H204">
        <v>35</v>
      </c>
      <c r="I204" s="1">
        <v>40826</v>
      </c>
      <c r="J204" s="2">
        <v>245482</v>
      </c>
      <c r="K204" s="3">
        <v>0.39</v>
      </c>
      <c r="L204" t="s">
        <v>19</v>
      </c>
      <c r="M204" t="s">
        <v>63</v>
      </c>
      <c r="N204" s="1" t="s">
        <v>21</v>
      </c>
      <c r="O204" s="1" t="str">
        <f>IF(OR(TBL_Employees[[#This Row],[Exit Date]],FALSE),"Left employees", "Current employees")</f>
        <v>Current employees</v>
      </c>
    </row>
    <row r="205" spans="1:15" x14ac:dyDescent="0.35">
      <c r="A205" t="s">
        <v>327</v>
      </c>
      <c r="B205" t="s">
        <v>735</v>
      </c>
      <c r="C205" t="s">
        <v>86</v>
      </c>
      <c r="D205" t="s">
        <v>31</v>
      </c>
      <c r="E205" t="s">
        <v>36</v>
      </c>
      <c r="F205" t="s">
        <v>17</v>
      </c>
      <c r="G205" t="s">
        <v>18</v>
      </c>
      <c r="H205">
        <v>25</v>
      </c>
      <c r="I205" s="1">
        <v>43850</v>
      </c>
      <c r="J205" s="2">
        <v>71359</v>
      </c>
      <c r="K205" s="3">
        <v>0</v>
      </c>
      <c r="L205" t="s">
        <v>19</v>
      </c>
      <c r="M205" t="s">
        <v>39</v>
      </c>
      <c r="N205" s="1" t="s">
        <v>21</v>
      </c>
      <c r="O205" s="1" t="str">
        <f>IF(OR(TBL_Employees[[#This Row],[Exit Date]],FALSE),"Left employees", "Current employees")</f>
        <v>Current employees</v>
      </c>
    </row>
    <row r="206" spans="1:15" x14ac:dyDescent="0.35">
      <c r="A206" t="s">
        <v>736</v>
      </c>
      <c r="B206" t="s">
        <v>737</v>
      </c>
      <c r="C206" t="s">
        <v>40</v>
      </c>
      <c r="D206" t="s">
        <v>31</v>
      </c>
      <c r="E206" t="s">
        <v>44</v>
      </c>
      <c r="F206" t="s">
        <v>28</v>
      </c>
      <c r="G206" t="s">
        <v>24</v>
      </c>
      <c r="H206">
        <v>45</v>
      </c>
      <c r="I206" s="1">
        <v>41879</v>
      </c>
      <c r="J206" s="2">
        <v>183161</v>
      </c>
      <c r="K206" s="3">
        <v>0.22</v>
      </c>
      <c r="L206" t="s">
        <v>19</v>
      </c>
      <c r="M206" t="s">
        <v>45</v>
      </c>
      <c r="N206" s="1" t="s">
        <v>21</v>
      </c>
      <c r="O206" s="1" t="str">
        <f>IF(OR(TBL_Employees[[#This Row],[Exit Date]],FALSE),"Left employees", "Current employees")</f>
        <v>Current employees</v>
      </c>
    </row>
    <row r="207" spans="1:15" x14ac:dyDescent="0.35">
      <c r="A207" t="s">
        <v>738</v>
      </c>
      <c r="B207" t="s">
        <v>162</v>
      </c>
      <c r="C207" t="s">
        <v>89</v>
      </c>
      <c r="D207" t="s">
        <v>27</v>
      </c>
      <c r="E207" t="s">
        <v>32</v>
      </c>
      <c r="F207" t="s">
        <v>28</v>
      </c>
      <c r="G207" t="s">
        <v>18</v>
      </c>
      <c r="H207">
        <v>58</v>
      </c>
      <c r="I207" s="1">
        <v>34176</v>
      </c>
      <c r="J207" s="2">
        <v>69260</v>
      </c>
      <c r="K207" s="3">
        <v>0</v>
      </c>
      <c r="L207" t="s">
        <v>19</v>
      </c>
      <c r="M207" t="s">
        <v>39</v>
      </c>
      <c r="N207" s="1" t="s">
        <v>21</v>
      </c>
      <c r="O207" s="1" t="str">
        <f>IF(OR(TBL_Employees[[#This Row],[Exit Date]],FALSE),"Left employees", "Current employees")</f>
        <v>Current employees</v>
      </c>
    </row>
    <row r="208" spans="1:15" x14ac:dyDescent="0.35">
      <c r="A208" t="s">
        <v>739</v>
      </c>
      <c r="B208" t="s">
        <v>740</v>
      </c>
      <c r="C208" t="s">
        <v>69</v>
      </c>
      <c r="D208" t="s">
        <v>31</v>
      </c>
      <c r="E208" t="s">
        <v>44</v>
      </c>
      <c r="F208" t="s">
        <v>28</v>
      </c>
      <c r="G208" t="s">
        <v>18</v>
      </c>
      <c r="H208">
        <v>51</v>
      </c>
      <c r="I208" s="1">
        <v>36442</v>
      </c>
      <c r="J208" s="2">
        <v>95639</v>
      </c>
      <c r="K208" s="3">
        <v>0</v>
      </c>
      <c r="L208" t="s">
        <v>19</v>
      </c>
      <c r="M208" t="s">
        <v>25</v>
      </c>
      <c r="N208" s="1" t="s">
        <v>21</v>
      </c>
      <c r="O208" s="1" t="str">
        <f>IF(OR(TBL_Employees[[#This Row],[Exit Date]],FALSE),"Left employees", "Current employees")</f>
        <v>Current employees</v>
      </c>
    </row>
    <row r="209" spans="1:15" x14ac:dyDescent="0.35">
      <c r="A209" t="s">
        <v>741</v>
      </c>
      <c r="B209" t="s">
        <v>742</v>
      </c>
      <c r="C209" t="s">
        <v>62</v>
      </c>
      <c r="D209" t="s">
        <v>23</v>
      </c>
      <c r="E209" t="s">
        <v>16</v>
      </c>
      <c r="F209" t="s">
        <v>28</v>
      </c>
      <c r="G209" t="s">
        <v>24</v>
      </c>
      <c r="H209">
        <v>48</v>
      </c>
      <c r="I209" s="1">
        <v>38168</v>
      </c>
      <c r="J209" s="2">
        <v>120660</v>
      </c>
      <c r="K209" s="3">
        <v>7.0000000000000007E-2</v>
      </c>
      <c r="L209" t="s">
        <v>33</v>
      </c>
      <c r="M209" t="s">
        <v>34</v>
      </c>
      <c r="N209" s="1" t="s">
        <v>21</v>
      </c>
      <c r="O209" s="1" t="str">
        <f>IF(OR(TBL_Employees[[#This Row],[Exit Date]],FALSE),"Left employees", "Current employees")</f>
        <v>Current employees</v>
      </c>
    </row>
    <row r="210" spans="1:15" x14ac:dyDescent="0.35">
      <c r="A210" t="s">
        <v>743</v>
      </c>
      <c r="B210" t="s">
        <v>744</v>
      </c>
      <c r="C210" t="s">
        <v>42</v>
      </c>
      <c r="D210" t="s">
        <v>50</v>
      </c>
      <c r="E210" t="s">
        <v>32</v>
      </c>
      <c r="F210" t="s">
        <v>28</v>
      </c>
      <c r="G210" t="s">
        <v>47</v>
      </c>
      <c r="H210">
        <v>36</v>
      </c>
      <c r="I210" s="1">
        <v>44556</v>
      </c>
      <c r="J210" s="2">
        <v>75119</v>
      </c>
      <c r="K210" s="3">
        <v>0</v>
      </c>
      <c r="L210" t="s">
        <v>19</v>
      </c>
      <c r="M210" t="s">
        <v>20</v>
      </c>
      <c r="N210" s="1" t="s">
        <v>21</v>
      </c>
      <c r="O210" s="1" t="str">
        <f>IF(OR(TBL_Employees[[#This Row],[Exit Date]],FALSE),"Left employees", "Current employees")</f>
        <v>Current employees</v>
      </c>
    </row>
    <row r="211" spans="1:15" x14ac:dyDescent="0.35">
      <c r="A211" t="s">
        <v>258</v>
      </c>
      <c r="B211" t="s">
        <v>745</v>
      </c>
      <c r="C211" t="s">
        <v>14</v>
      </c>
      <c r="D211" t="s">
        <v>65</v>
      </c>
      <c r="E211" t="s">
        <v>16</v>
      </c>
      <c r="F211" t="s">
        <v>28</v>
      </c>
      <c r="G211" t="s">
        <v>24</v>
      </c>
      <c r="H211">
        <v>59</v>
      </c>
      <c r="I211" s="1">
        <v>40681</v>
      </c>
      <c r="J211" s="2">
        <v>192213</v>
      </c>
      <c r="K211" s="3">
        <v>0.4</v>
      </c>
      <c r="L211" t="s">
        <v>19</v>
      </c>
      <c r="M211" t="s">
        <v>20</v>
      </c>
      <c r="N211" s="1" t="s">
        <v>21</v>
      </c>
      <c r="O211" s="1" t="str">
        <f>IF(OR(TBL_Employees[[#This Row],[Exit Date]],FALSE),"Left employees", "Current employees")</f>
        <v>Current employees</v>
      </c>
    </row>
    <row r="212" spans="1:15" x14ac:dyDescent="0.35">
      <c r="A212" t="s">
        <v>746</v>
      </c>
      <c r="B212" t="s">
        <v>747</v>
      </c>
      <c r="C212" t="s">
        <v>94</v>
      </c>
      <c r="D212" t="s">
        <v>50</v>
      </c>
      <c r="E212" t="s">
        <v>44</v>
      </c>
      <c r="F212" t="s">
        <v>17</v>
      </c>
      <c r="G212" t="s">
        <v>51</v>
      </c>
      <c r="H212">
        <v>45</v>
      </c>
      <c r="I212" s="1">
        <v>41769</v>
      </c>
      <c r="J212" s="2">
        <v>65047</v>
      </c>
      <c r="K212" s="3">
        <v>0</v>
      </c>
      <c r="L212" t="s">
        <v>52</v>
      </c>
      <c r="M212" t="s">
        <v>53</v>
      </c>
      <c r="N212" s="1" t="s">
        <v>21</v>
      </c>
      <c r="O212" s="1" t="str">
        <f>IF(OR(TBL_Employees[[#This Row],[Exit Date]],FALSE),"Left employees", "Current employees")</f>
        <v>Current employees</v>
      </c>
    </row>
    <row r="213" spans="1:15" x14ac:dyDescent="0.35">
      <c r="A213" t="s">
        <v>748</v>
      </c>
      <c r="B213" t="s">
        <v>749</v>
      </c>
      <c r="C213" t="s">
        <v>61</v>
      </c>
      <c r="D213" t="s">
        <v>50</v>
      </c>
      <c r="E213" t="s">
        <v>36</v>
      </c>
      <c r="F213" t="s">
        <v>28</v>
      </c>
      <c r="G213" t="s">
        <v>18</v>
      </c>
      <c r="H213">
        <v>29</v>
      </c>
      <c r="I213" s="1">
        <v>42810</v>
      </c>
      <c r="J213" s="2">
        <v>151413</v>
      </c>
      <c r="K213" s="3">
        <v>0.15</v>
      </c>
      <c r="L213" t="s">
        <v>19</v>
      </c>
      <c r="M213" t="s">
        <v>63</v>
      </c>
      <c r="N213" s="1" t="s">
        <v>21</v>
      </c>
      <c r="O213" s="1" t="str">
        <f>IF(OR(TBL_Employees[[#This Row],[Exit Date]],FALSE),"Left employees", "Current employees")</f>
        <v>Current employees</v>
      </c>
    </row>
    <row r="214" spans="1:15" x14ac:dyDescent="0.35">
      <c r="A214" t="s">
        <v>750</v>
      </c>
      <c r="B214" t="s">
        <v>751</v>
      </c>
      <c r="C214" t="s">
        <v>42</v>
      </c>
      <c r="D214" t="s">
        <v>65</v>
      </c>
      <c r="E214" t="s">
        <v>44</v>
      </c>
      <c r="F214" t="s">
        <v>28</v>
      </c>
      <c r="G214" t="s">
        <v>18</v>
      </c>
      <c r="H214">
        <v>62</v>
      </c>
      <c r="I214" s="1">
        <v>37733</v>
      </c>
      <c r="J214" s="2">
        <v>76906</v>
      </c>
      <c r="K214" s="3">
        <v>0</v>
      </c>
      <c r="L214" t="s">
        <v>19</v>
      </c>
      <c r="M214" t="s">
        <v>63</v>
      </c>
      <c r="N214" s="1" t="s">
        <v>21</v>
      </c>
      <c r="O214" s="1" t="str">
        <f>IF(OR(TBL_Employees[[#This Row],[Exit Date]],FALSE),"Left employees", "Current employees")</f>
        <v>Current employees</v>
      </c>
    </row>
    <row r="215" spans="1:15" x14ac:dyDescent="0.35">
      <c r="A215" t="s">
        <v>752</v>
      </c>
      <c r="B215" t="s">
        <v>753</v>
      </c>
      <c r="C215" t="s">
        <v>62</v>
      </c>
      <c r="D215" t="s">
        <v>27</v>
      </c>
      <c r="E215" t="s">
        <v>32</v>
      </c>
      <c r="F215" t="s">
        <v>28</v>
      </c>
      <c r="G215" t="s">
        <v>24</v>
      </c>
      <c r="H215">
        <v>51</v>
      </c>
      <c r="I215" s="1">
        <v>34388</v>
      </c>
      <c r="J215" s="2">
        <v>122802</v>
      </c>
      <c r="K215" s="3">
        <v>0.05</v>
      </c>
      <c r="L215" t="s">
        <v>33</v>
      </c>
      <c r="M215" t="s">
        <v>74</v>
      </c>
      <c r="N215" s="1" t="s">
        <v>21</v>
      </c>
      <c r="O215" s="1" t="str">
        <f>IF(OR(TBL_Employees[[#This Row],[Exit Date]],FALSE),"Left employees", "Current employees")</f>
        <v>Current employees</v>
      </c>
    </row>
    <row r="216" spans="1:15" x14ac:dyDescent="0.35">
      <c r="A216" t="s">
        <v>754</v>
      </c>
      <c r="B216" t="s">
        <v>755</v>
      </c>
      <c r="C216" t="s">
        <v>86</v>
      </c>
      <c r="D216" t="s">
        <v>31</v>
      </c>
      <c r="E216" t="s">
        <v>16</v>
      </c>
      <c r="F216" t="s">
        <v>28</v>
      </c>
      <c r="G216" t="s">
        <v>51</v>
      </c>
      <c r="H216">
        <v>47</v>
      </c>
      <c r="I216" s="1">
        <v>35990</v>
      </c>
      <c r="J216" s="2">
        <v>99091</v>
      </c>
      <c r="K216" s="3">
        <v>0</v>
      </c>
      <c r="L216" t="s">
        <v>19</v>
      </c>
      <c r="M216" t="s">
        <v>25</v>
      </c>
      <c r="N216" s="1" t="s">
        <v>21</v>
      </c>
      <c r="O216" s="1" t="str">
        <f>IF(OR(TBL_Employees[[#This Row],[Exit Date]],FALSE),"Left employees", "Current employees")</f>
        <v>Current employees</v>
      </c>
    </row>
    <row r="217" spans="1:15" x14ac:dyDescent="0.35">
      <c r="A217" t="s">
        <v>219</v>
      </c>
      <c r="B217" t="s">
        <v>756</v>
      </c>
      <c r="C217" t="s">
        <v>84</v>
      </c>
      <c r="D217" t="s">
        <v>31</v>
      </c>
      <c r="E217" t="s">
        <v>36</v>
      </c>
      <c r="F217" t="s">
        <v>28</v>
      </c>
      <c r="G217" t="s">
        <v>51</v>
      </c>
      <c r="H217">
        <v>40</v>
      </c>
      <c r="I217" s="1">
        <v>39506</v>
      </c>
      <c r="J217" s="2">
        <v>113987</v>
      </c>
      <c r="K217" s="3">
        <v>0</v>
      </c>
      <c r="L217" t="s">
        <v>52</v>
      </c>
      <c r="M217" t="s">
        <v>81</v>
      </c>
      <c r="N217" s="1" t="s">
        <v>21</v>
      </c>
      <c r="O217" s="1" t="str">
        <f>IF(OR(TBL_Employees[[#This Row],[Exit Date]],FALSE),"Left employees", "Current employees")</f>
        <v>Current employees</v>
      </c>
    </row>
    <row r="218" spans="1:15" x14ac:dyDescent="0.35">
      <c r="A218" t="s">
        <v>322</v>
      </c>
      <c r="B218" t="s">
        <v>311</v>
      </c>
      <c r="C218" t="s">
        <v>42</v>
      </c>
      <c r="D218" t="s">
        <v>15</v>
      </c>
      <c r="E218" t="s">
        <v>32</v>
      </c>
      <c r="F218" t="s">
        <v>17</v>
      </c>
      <c r="G218" t="s">
        <v>18</v>
      </c>
      <c r="H218">
        <v>28</v>
      </c>
      <c r="I218" s="1">
        <v>44078</v>
      </c>
      <c r="J218" s="2">
        <v>95045</v>
      </c>
      <c r="K218" s="3">
        <v>0</v>
      </c>
      <c r="L218" t="s">
        <v>19</v>
      </c>
      <c r="M218" t="s">
        <v>20</v>
      </c>
      <c r="N218" s="1" t="s">
        <v>21</v>
      </c>
      <c r="O218" s="1" t="str">
        <f>IF(OR(TBL_Employees[[#This Row],[Exit Date]],FALSE),"Left employees", "Current employees")</f>
        <v>Current employees</v>
      </c>
    </row>
    <row r="219" spans="1:15" x14ac:dyDescent="0.35">
      <c r="A219" t="s">
        <v>757</v>
      </c>
      <c r="B219" t="s">
        <v>758</v>
      </c>
      <c r="C219" t="s">
        <v>14</v>
      </c>
      <c r="D219" t="s">
        <v>43</v>
      </c>
      <c r="E219" t="s">
        <v>44</v>
      </c>
      <c r="F219" t="s">
        <v>17</v>
      </c>
      <c r="G219" t="s">
        <v>18</v>
      </c>
      <c r="H219">
        <v>29</v>
      </c>
      <c r="I219" s="1">
        <v>42740</v>
      </c>
      <c r="J219" s="2">
        <v>190401</v>
      </c>
      <c r="K219" s="3">
        <v>0.37</v>
      </c>
      <c r="L219" t="s">
        <v>19</v>
      </c>
      <c r="M219" t="s">
        <v>29</v>
      </c>
      <c r="N219" s="1" t="s">
        <v>21</v>
      </c>
      <c r="O219" s="1" t="str">
        <f>IF(OR(TBL_Employees[[#This Row],[Exit Date]],FALSE),"Left employees", "Current employees")</f>
        <v>Current employees</v>
      </c>
    </row>
    <row r="220" spans="1:15" x14ac:dyDescent="0.35">
      <c r="A220" t="s">
        <v>759</v>
      </c>
      <c r="B220" t="s">
        <v>760</v>
      </c>
      <c r="C220" t="s">
        <v>42</v>
      </c>
      <c r="D220" t="s">
        <v>15</v>
      </c>
      <c r="E220" t="s">
        <v>32</v>
      </c>
      <c r="F220" t="s">
        <v>28</v>
      </c>
      <c r="G220" t="s">
        <v>51</v>
      </c>
      <c r="H220">
        <v>46</v>
      </c>
      <c r="I220" s="1">
        <v>41294</v>
      </c>
      <c r="J220" s="2">
        <v>86061</v>
      </c>
      <c r="K220" s="3">
        <v>0</v>
      </c>
      <c r="L220" t="s">
        <v>52</v>
      </c>
      <c r="M220" t="s">
        <v>66</v>
      </c>
      <c r="N220" s="1" t="s">
        <v>21</v>
      </c>
      <c r="O220" s="1" t="str">
        <f>IF(OR(TBL_Employees[[#This Row],[Exit Date]],FALSE),"Left employees", "Current employees")</f>
        <v>Current employees</v>
      </c>
    </row>
    <row r="221" spans="1:15" x14ac:dyDescent="0.35">
      <c r="A221" t="s">
        <v>761</v>
      </c>
      <c r="B221" t="s">
        <v>762</v>
      </c>
      <c r="C221" t="s">
        <v>49</v>
      </c>
      <c r="D221" t="s">
        <v>50</v>
      </c>
      <c r="E221" t="s">
        <v>44</v>
      </c>
      <c r="F221" t="s">
        <v>28</v>
      </c>
      <c r="G221" t="s">
        <v>51</v>
      </c>
      <c r="H221">
        <v>45</v>
      </c>
      <c r="I221" s="1">
        <v>44237</v>
      </c>
      <c r="J221" s="2">
        <v>79882</v>
      </c>
      <c r="K221" s="3">
        <v>0</v>
      </c>
      <c r="L221" t="s">
        <v>19</v>
      </c>
      <c r="M221" t="s">
        <v>39</v>
      </c>
      <c r="N221" s="1" t="s">
        <v>21</v>
      </c>
      <c r="O221" s="1" t="str">
        <f>IF(OR(TBL_Employees[[#This Row],[Exit Date]],FALSE),"Left employees", "Current employees")</f>
        <v>Current employees</v>
      </c>
    </row>
    <row r="222" spans="1:15" x14ac:dyDescent="0.35">
      <c r="A222" t="s">
        <v>102</v>
      </c>
      <c r="B222" t="s">
        <v>763</v>
      </c>
      <c r="C222" t="s">
        <v>14</v>
      </c>
      <c r="D222" t="s">
        <v>31</v>
      </c>
      <c r="E222" t="s">
        <v>36</v>
      </c>
      <c r="F222" t="s">
        <v>17</v>
      </c>
      <c r="G222" t="s">
        <v>18</v>
      </c>
      <c r="H222">
        <v>30</v>
      </c>
      <c r="I222" s="1">
        <v>43165</v>
      </c>
      <c r="J222" s="2">
        <v>255431</v>
      </c>
      <c r="K222" s="3">
        <v>0.36</v>
      </c>
      <c r="L222" t="s">
        <v>19</v>
      </c>
      <c r="M222" t="s">
        <v>29</v>
      </c>
      <c r="N222" s="1" t="s">
        <v>21</v>
      </c>
      <c r="O222" s="1" t="str">
        <f>IF(OR(TBL_Employees[[#This Row],[Exit Date]],FALSE),"Left employees", "Current employees")</f>
        <v>Current employees</v>
      </c>
    </row>
    <row r="223" spans="1:15" x14ac:dyDescent="0.35">
      <c r="A223" t="s">
        <v>764</v>
      </c>
      <c r="B223" t="s">
        <v>765</v>
      </c>
      <c r="C223" t="s">
        <v>82</v>
      </c>
      <c r="D223" t="s">
        <v>27</v>
      </c>
      <c r="E223" t="s">
        <v>36</v>
      </c>
      <c r="F223" t="s">
        <v>17</v>
      </c>
      <c r="G223" t="s">
        <v>24</v>
      </c>
      <c r="H223">
        <v>48</v>
      </c>
      <c r="I223" s="1">
        <v>37855</v>
      </c>
      <c r="J223" s="2">
        <v>82017</v>
      </c>
      <c r="K223" s="3">
        <v>0</v>
      </c>
      <c r="L223" t="s">
        <v>33</v>
      </c>
      <c r="M223" t="s">
        <v>60</v>
      </c>
      <c r="N223" s="1" t="s">
        <v>21</v>
      </c>
      <c r="O223" s="1" t="str">
        <f>IF(OR(TBL_Employees[[#This Row],[Exit Date]],FALSE),"Left employees", "Current employees")</f>
        <v>Current employees</v>
      </c>
    </row>
    <row r="224" spans="1:15" x14ac:dyDescent="0.35">
      <c r="A224" t="s">
        <v>766</v>
      </c>
      <c r="B224" t="s">
        <v>767</v>
      </c>
      <c r="C224" t="s">
        <v>68</v>
      </c>
      <c r="D224" t="s">
        <v>15</v>
      </c>
      <c r="E224" t="s">
        <v>36</v>
      </c>
      <c r="F224" t="s">
        <v>17</v>
      </c>
      <c r="G224" t="s">
        <v>18</v>
      </c>
      <c r="H224">
        <v>51</v>
      </c>
      <c r="I224" s="1">
        <v>42753</v>
      </c>
      <c r="J224" s="2">
        <v>53799</v>
      </c>
      <c r="K224" s="3">
        <v>0</v>
      </c>
      <c r="L224" t="s">
        <v>19</v>
      </c>
      <c r="M224" t="s">
        <v>29</v>
      </c>
      <c r="N224" s="1" t="s">
        <v>21</v>
      </c>
      <c r="O224" s="1" t="str">
        <f>IF(OR(TBL_Employees[[#This Row],[Exit Date]],FALSE),"Left employees", "Current employees")</f>
        <v>Current employees</v>
      </c>
    </row>
    <row r="225" spans="1:15" x14ac:dyDescent="0.35">
      <c r="A225" t="s">
        <v>768</v>
      </c>
      <c r="B225" t="s">
        <v>769</v>
      </c>
      <c r="C225" t="s">
        <v>42</v>
      </c>
      <c r="D225" t="s">
        <v>50</v>
      </c>
      <c r="E225" t="s">
        <v>32</v>
      </c>
      <c r="F225" t="s">
        <v>17</v>
      </c>
      <c r="G225" t="s">
        <v>18</v>
      </c>
      <c r="H225">
        <v>28</v>
      </c>
      <c r="I225" s="1">
        <v>44380</v>
      </c>
      <c r="J225" s="2">
        <v>82739</v>
      </c>
      <c r="K225" s="3">
        <v>0</v>
      </c>
      <c r="L225" t="s">
        <v>19</v>
      </c>
      <c r="M225" t="s">
        <v>39</v>
      </c>
      <c r="N225" s="1" t="s">
        <v>21</v>
      </c>
      <c r="O225" s="1" t="str">
        <f>IF(OR(TBL_Employees[[#This Row],[Exit Date]],FALSE),"Left employees", "Current employees")</f>
        <v>Current employees</v>
      </c>
    </row>
    <row r="226" spans="1:15" x14ac:dyDescent="0.35">
      <c r="A226" t="s">
        <v>770</v>
      </c>
      <c r="B226" t="s">
        <v>771</v>
      </c>
      <c r="C226" t="s">
        <v>38</v>
      </c>
      <c r="D226" t="s">
        <v>27</v>
      </c>
      <c r="E226" t="s">
        <v>36</v>
      </c>
      <c r="F226" t="s">
        <v>17</v>
      </c>
      <c r="G226" t="s">
        <v>18</v>
      </c>
      <c r="H226">
        <v>36</v>
      </c>
      <c r="I226" s="1">
        <v>41789</v>
      </c>
      <c r="J226" s="2">
        <v>99080</v>
      </c>
      <c r="K226" s="3">
        <v>0</v>
      </c>
      <c r="L226" t="s">
        <v>19</v>
      </c>
      <c r="M226" t="s">
        <v>20</v>
      </c>
      <c r="N226" s="1" t="s">
        <v>21</v>
      </c>
      <c r="O226" s="1" t="str">
        <f>IF(OR(TBL_Employees[[#This Row],[Exit Date]],FALSE),"Left employees", "Current employees")</f>
        <v>Current employees</v>
      </c>
    </row>
    <row r="227" spans="1:15" x14ac:dyDescent="0.35">
      <c r="A227" t="s">
        <v>772</v>
      </c>
      <c r="B227" t="s">
        <v>773</v>
      </c>
      <c r="C227" t="s">
        <v>49</v>
      </c>
      <c r="D227" t="s">
        <v>50</v>
      </c>
      <c r="E227" t="s">
        <v>32</v>
      </c>
      <c r="F227" t="s">
        <v>17</v>
      </c>
      <c r="G227" t="s">
        <v>24</v>
      </c>
      <c r="H227">
        <v>40</v>
      </c>
      <c r="I227" s="1">
        <v>40563</v>
      </c>
      <c r="J227" s="2">
        <v>96719</v>
      </c>
      <c r="K227" s="3">
        <v>0</v>
      </c>
      <c r="L227" t="s">
        <v>33</v>
      </c>
      <c r="M227" t="s">
        <v>34</v>
      </c>
      <c r="N227" s="1" t="s">
        <v>21</v>
      </c>
      <c r="O227" s="1" t="str">
        <f>IF(OR(TBL_Employees[[#This Row],[Exit Date]],FALSE),"Left employees", "Current employees")</f>
        <v>Current employees</v>
      </c>
    </row>
    <row r="228" spans="1:15" x14ac:dyDescent="0.35">
      <c r="A228" t="s">
        <v>774</v>
      </c>
      <c r="B228" t="s">
        <v>775</v>
      </c>
      <c r="C228" t="s">
        <v>40</v>
      </c>
      <c r="D228" t="s">
        <v>23</v>
      </c>
      <c r="E228" t="s">
        <v>16</v>
      </c>
      <c r="F228" t="s">
        <v>17</v>
      </c>
      <c r="G228" t="s">
        <v>18</v>
      </c>
      <c r="H228">
        <v>51</v>
      </c>
      <c r="I228" s="1">
        <v>44283</v>
      </c>
      <c r="J228" s="2">
        <v>180687</v>
      </c>
      <c r="K228" s="3">
        <v>0.19</v>
      </c>
      <c r="L228" t="s">
        <v>19</v>
      </c>
      <c r="M228" t="s">
        <v>39</v>
      </c>
      <c r="N228" s="1" t="s">
        <v>21</v>
      </c>
      <c r="O228" s="1" t="str">
        <f>IF(OR(TBL_Employees[[#This Row],[Exit Date]],FALSE),"Left employees", "Current employees")</f>
        <v>Current employees</v>
      </c>
    </row>
    <row r="229" spans="1:15" x14ac:dyDescent="0.35">
      <c r="A229" t="s">
        <v>251</v>
      </c>
      <c r="B229" t="s">
        <v>776</v>
      </c>
      <c r="C229" t="s">
        <v>97</v>
      </c>
      <c r="D229" t="s">
        <v>31</v>
      </c>
      <c r="E229" t="s">
        <v>32</v>
      </c>
      <c r="F229" t="s">
        <v>28</v>
      </c>
      <c r="G229" t="s">
        <v>24</v>
      </c>
      <c r="H229">
        <v>45</v>
      </c>
      <c r="I229" s="1">
        <v>36993</v>
      </c>
      <c r="J229" s="2">
        <v>95743</v>
      </c>
      <c r="K229" s="3">
        <v>0.15</v>
      </c>
      <c r="L229" t="s">
        <v>19</v>
      </c>
      <c r="M229" t="s">
        <v>25</v>
      </c>
      <c r="N229" s="1">
        <v>40193</v>
      </c>
      <c r="O229" s="1" t="str">
        <f>IF(OR(TBL_Employees[[#This Row],[Exit Date]],FALSE),"Left employees", "Current employees")</f>
        <v>Left employees</v>
      </c>
    </row>
    <row r="230" spans="1:15" x14ac:dyDescent="0.35">
      <c r="A230" t="s">
        <v>777</v>
      </c>
      <c r="B230" t="s">
        <v>778</v>
      </c>
      <c r="C230" t="s">
        <v>86</v>
      </c>
      <c r="D230" t="s">
        <v>31</v>
      </c>
      <c r="E230" t="s">
        <v>16</v>
      </c>
      <c r="F230" t="s">
        <v>17</v>
      </c>
      <c r="G230" t="s">
        <v>18</v>
      </c>
      <c r="H230">
        <v>44</v>
      </c>
      <c r="I230" s="1">
        <v>40060</v>
      </c>
      <c r="J230" s="2">
        <v>89695</v>
      </c>
      <c r="K230" s="3">
        <v>0</v>
      </c>
      <c r="L230" t="s">
        <v>19</v>
      </c>
      <c r="M230" t="s">
        <v>25</v>
      </c>
      <c r="N230" s="1" t="s">
        <v>21</v>
      </c>
      <c r="O230" s="1" t="str">
        <f>IF(OR(TBL_Employees[[#This Row],[Exit Date]],FALSE),"Left employees", "Current employees")</f>
        <v>Current employees</v>
      </c>
    </row>
    <row r="231" spans="1:15" x14ac:dyDescent="0.35">
      <c r="A231" t="s">
        <v>110</v>
      </c>
      <c r="B231" t="s">
        <v>779</v>
      </c>
      <c r="C231" t="s">
        <v>62</v>
      </c>
      <c r="D231" t="s">
        <v>15</v>
      </c>
      <c r="E231" t="s">
        <v>36</v>
      </c>
      <c r="F231" t="s">
        <v>28</v>
      </c>
      <c r="G231" t="s">
        <v>24</v>
      </c>
      <c r="H231">
        <v>64</v>
      </c>
      <c r="I231" s="1">
        <v>35996</v>
      </c>
      <c r="J231" s="2">
        <v>122753</v>
      </c>
      <c r="K231" s="3">
        <v>0.09</v>
      </c>
      <c r="L231" t="s">
        <v>33</v>
      </c>
      <c r="M231" t="s">
        <v>80</v>
      </c>
      <c r="N231" s="1" t="s">
        <v>21</v>
      </c>
      <c r="O231" s="1" t="str">
        <f>IF(OR(TBL_Employees[[#This Row],[Exit Date]],FALSE),"Left employees", "Current employees")</f>
        <v>Current employees</v>
      </c>
    </row>
    <row r="232" spans="1:15" x14ac:dyDescent="0.35">
      <c r="A232" t="s">
        <v>780</v>
      </c>
      <c r="B232" t="s">
        <v>781</v>
      </c>
      <c r="C232" t="s">
        <v>77</v>
      </c>
      <c r="D232" t="s">
        <v>23</v>
      </c>
      <c r="E232" t="s">
        <v>16</v>
      </c>
      <c r="F232" t="s">
        <v>28</v>
      </c>
      <c r="G232" t="s">
        <v>18</v>
      </c>
      <c r="H232">
        <v>30</v>
      </c>
      <c r="I232" s="1">
        <v>42078</v>
      </c>
      <c r="J232" s="2">
        <v>93734</v>
      </c>
      <c r="K232" s="3">
        <v>0</v>
      </c>
      <c r="L232" t="s">
        <v>19</v>
      </c>
      <c r="M232" t="s">
        <v>39</v>
      </c>
      <c r="N232" s="1" t="s">
        <v>21</v>
      </c>
      <c r="O232" s="1" t="str">
        <f>IF(OR(TBL_Employees[[#This Row],[Exit Date]],FALSE),"Left employees", "Current employees")</f>
        <v>Current employees</v>
      </c>
    </row>
    <row r="233" spans="1:15" x14ac:dyDescent="0.35">
      <c r="A233" t="s">
        <v>167</v>
      </c>
      <c r="B233" t="s">
        <v>782</v>
      </c>
      <c r="C233" t="s">
        <v>68</v>
      </c>
      <c r="D233" t="s">
        <v>65</v>
      </c>
      <c r="E233" t="s">
        <v>32</v>
      </c>
      <c r="F233" t="s">
        <v>28</v>
      </c>
      <c r="G233" t="s">
        <v>24</v>
      </c>
      <c r="H233">
        <v>28</v>
      </c>
      <c r="I233" s="1">
        <v>42867</v>
      </c>
      <c r="J233" s="2">
        <v>52069</v>
      </c>
      <c r="K233" s="3">
        <v>0</v>
      </c>
      <c r="L233" t="s">
        <v>33</v>
      </c>
      <c r="M233" t="s">
        <v>80</v>
      </c>
      <c r="N233" s="1" t="s">
        <v>21</v>
      </c>
      <c r="O233" s="1" t="str">
        <f>IF(OR(TBL_Employees[[#This Row],[Exit Date]],FALSE),"Left employees", "Current employees")</f>
        <v>Current employees</v>
      </c>
    </row>
    <row r="234" spans="1:15" x14ac:dyDescent="0.35">
      <c r="A234" t="s">
        <v>783</v>
      </c>
      <c r="B234" t="s">
        <v>784</v>
      </c>
      <c r="C234" t="s">
        <v>14</v>
      </c>
      <c r="D234" t="s">
        <v>65</v>
      </c>
      <c r="E234" t="s">
        <v>32</v>
      </c>
      <c r="F234" t="s">
        <v>17</v>
      </c>
      <c r="G234" t="s">
        <v>51</v>
      </c>
      <c r="H234">
        <v>33</v>
      </c>
      <c r="I234" s="1">
        <v>44181</v>
      </c>
      <c r="J234" s="2">
        <v>258426</v>
      </c>
      <c r="K234" s="3">
        <v>0.4</v>
      </c>
      <c r="L234" t="s">
        <v>52</v>
      </c>
      <c r="M234" t="s">
        <v>66</v>
      </c>
      <c r="N234" s="1" t="s">
        <v>21</v>
      </c>
      <c r="O234" s="1" t="str">
        <f>IF(OR(TBL_Employees[[#This Row],[Exit Date]],FALSE),"Left employees", "Current employees")</f>
        <v>Current employees</v>
      </c>
    </row>
    <row r="235" spans="1:15" x14ac:dyDescent="0.35">
      <c r="A235" t="s">
        <v>785</v>
      </c>
      <c r="B235" t="s">
        <v>786</v>
      </c>
      <c r="C235" t="s">
        <v>62</v>
      </c>
      <c r="D235" t="s">
        <v>15</v>
      </c>
      <c r="E235" t="s">
        <v>44</v>
      </c>
      <c r="F235" t="s">
        <v>28</v>
      </c>
      <c r="G235" t="s">
        <v>47</v>
      </c>
      <c r="H235">
        <v>51</v>
      </c>
      <c r="I235" s="1">
        <v>34746</v>
      </c>
      <c r="J235" s="2">
        <v>125375</v>
      </c>
      <c r="K235" s="3">
        <v>0.09</v>
      </c>
      <c r="L235" t="s">
        <v>19</v>
      </c>
      <c r="M235" t="s">
        <v>20</v>
      </c>
      <c r="N235" s="1" t="s">
        <v>21</v>
      </c>
      <c r="O235" s="1" t="str">
        <f>IF(OR(TBL_Employees[[#This Row],[Exit Date]],FALSE),"Left employees", "Current employees")</f>
        <v>Current employees</v>
      </c>
    </row>
    <row r="236" spans="1:15" x14ac:dyDescent="0.35">
      <c r="A236" t="s">
        <v>787</v>
      </c>
      <c r="B236" t="s">
        <v>788</v>
      </c>
      <c r="C236" t="s">
        <v>14</v>
      </c>
      <c r="D236" t="s">
        <v>65</v>
      </c>
      <c r="E236" t="s">
        <v>36</v>
      </c>
      <c r="F236" t="s">
        <v>28</v>
      </c>
      <c r="G236" t="s">
        <v>24</v>
      </c>
      <c r="H236">
        <v>25</v>
      </c>
      <c r="I236" s="1">
        <v>44235</v>
      </c>
      <c r="J236" s="2">
        <v>198243</v>
      </c>
      <c r="K236" s="3">
        <v>0.31</v>
      </c>
      <c r="L236" t="s">
        <v>19</v>
      </c>
      <c r="M236" t="s">
        <v>45</v>
      </c>
      <c r="N236" s="1" t="s">
        <v>21</v>
      </c>
      <c r="O236" s="1" t="str">
        <f>IF(OR(TBL_Employees[[#This Row],[Exit Date]],FALSE),"Left employees", "Current employees")</f>
        <v>Current employees</v>
      </c>
    </row>
    <row r="237" spans="1:15" x14ac:dyDescent="0.35">
      <c r="A237" t="s">
        <v>789</v>
      </c>
      <c r="B237" t="s">
        <v>790</v>
      </c>
      <c r="C237" t="s">
        <v>58</v>
      </c>
      <c r="D237" t="s">
        <v>31</v>
      </c>
      <c r="E237" t="s">
        <v>16</v>
      </c>
      <c r="F237" t="s">
        <v>17</v>
      </c>
      <c r="G237" t="s">
        <v>51</v>
      </c>
      <c r="H237">
        <v>42</v>
      </c>
      <c r="I237" s="1">
        <v>43062</v>
      </c>
      <c r="J237" s="2">
        <v>96023</v>
      </c>
      <c r="K237" s="3">
        <v>0</v>
      </c>
      <c r="L237" t="s">
        <v>19</v>
      </c>
      <c r="M237" t="s">
        <v>45</v>
      </c>
      <c r="N237" s="1" t="s">
        <v>21</v>
      </c>
      <c r="O237" s="1" t="str">
        <f>IF(OR(TBL_Employees[[#This Row],[Exit Date]],FALSE),"Left employees", "Current employees")</f>
        <v>Current employees</v>
      </c>
    </row>
    <row r="238" spans="1:15" x14ac:dyDescent="0.35">
      <c r="A238" t="s">
        <v>205</v>
      </c>
      <c r="B238" t="s">
        <v>791</v>
      </c>
      <c r="C238" t="s">
        <v>42</v>
      </c>
      <c r="D238" t="s">
        <v>43</v>
      </c>
      <c r="E238" t="s">
        <v>16</v>
      </c>
      <c r="F238" t="s">
        <v>17</v>
      </c>
      <c r="G238" t="s">
        <v>18</v>
      </c>
      <c r="H238">
        <v>34</v>
      </c>
      <c r="I238" s="1">
        <v>41085</v>
      </c>
      <c r="J238" s="2">
        <v>83066</v>
      </c>
      <c r="K238" s="3">
        <v>0</v>
      </c>
      <c r="L238" t="s">
        <v>19</v>
      </c>
      <c r="M238" t="s">
        <v>20</v>
      </c>
      <c r="N238" s="1">
        <v>41430</v>
      </c>
      <c r="O238" s="1" t="str">
        <f>IF(OR(TBL_Employees[[#This Row],[Exit Date]],FALSE),"Left employees", "Current employees")</f>
        <v>Left employees</v>
      </c>
    </row>
    <row r="239" spans="1:15" x14ac:dyDescent="0.35">
      <c r="A239" t="s">
        <v>792</v>
      </c>
      <c r="B239" t="s">
        <v>793</v>
      </c>
      <c r="C239" t="s">
        <v>64</v>
      </c>
      <c r="D239" t="s">
        <v>50</v>
      </c>
      <c r="E239" t="s">
        <v>16</v>
      </c>
      <c r="F239" t="s">
        <v>17</v>
      </c>
      <c r="G239" t="s">
        <v>51</v>
      </c>
      <c r="H239">
        <v>48</v>
      </c>
      <c r="I239" s="1">
        <v>41773</v>
      </c>
      <c r="J239" s="2">
        <v>61216</v>
      </c>
      <c r="K239" s="3">
        <v>0</v>
      </c>
      <c r="L239" t="s">
        <v>19</v>
      </c>
      <c r="M239" t="s">
        <v>63</v>
      </c>
      <c r="N239" s="1" t="s">
        <v>21</v>
      </c>
      <c r="O239" s="1" t="str">
        <f>IF(OR(TBL_Employees[[#This Row],[Exit Date]],FALSE),"Left employees", "Current employees")</f>
        <v>Current employees</v>
      </c>
    </row>
    <row r="240" spans="1:15" x14ac:dyDescent="0.35">
      <c r="A240" t="s">
        <v>345</v>
      </c>
      <c r="B240" t="s">
        <v>794</v>
      </c>
      <c r="C240" t="s">
        <v>61</v>
      </c>
      <c r="D240" t="s">
        <v>65</v>
      </c>
      <c r="E240" t="s">
        <v>32</v>
      </c>
      <c r="F240" t="s">
        <v>28</v>
      </c>
      <c r="G240" t="s">
        <v>18</v>
      </c>
      <c r="H240">
        <v>33</v>
      </c>
      <c r="I240" s="1">
        <v>41315</v>
      </c>
      <c r="J240" s="2">
        <v>144231</v>
      </c>
      <c r="K240" s="3">
        <v>0.14000000000000001</v>
      </c>
      <c r="L240" t="s">
        <v>19</v>
      </c>
      <c r="M240" t="s">
        <v>29</v>
      </c>
      <c r="N240" s="1">
        <v>44029</v>
      </c>
      <c r="O240" s="1" t="str">
        <f>IF(OR(TBL_Employees[[#This Row],[Exit Date]],FALSE),"Left employees", "Current employees")</f>
        <v>Left employees</v>
      </c>
    </row>
    <row r="241" spans="1:15" x14ac:dyDescent="0.35">
      <c r="A241" t="s">
        <v>795</v>
      </c>
      <c r="B241" t="s">
        <v>796</v>
      </c>
      <c r="C241" t="s">
        <v>22</v>
      </c>
      <c r="D241" t="s">
        <v>23</v>
      </c>
      <c r="E241" t="s">
        <v>16</v>
      </c>
      <c r="F241" t="s">
        <v>28</v>
      </c>
      <c r="G241" t="s">
        <v>24</v>
      </c>
      <c r="H241">
        <v>41</v>
      </c>
      <c r="I241" s="1">
        <v>39379</v>
      </c>
      <c r="J241" s="2">
        <v>51630</v>
      </c>
      <c r="K241" s="3">
        <v>0</v>
      </c>
      <c r="L241" t="s">
        <v>33</v>
      </c>
      <c r="M241" t="s">
        <v>60</v>
      </c>
      <c r="N241" s="1" t="s">
        <v>21</v>
      </c>
      <c r="O241" s="1" t="str">
        <f>IF(OR(TBL_Employees[[#This Row],[Exit Date]],FALSE),"Left employees", "Current employees")</f>
        <v>Current employees</v>
      </c>
    </row>
    <row r="242" spans="1:15" x14ac:dyDescent="0.35">
      <c r="A242" t="s">
        <v>797</v>
      </c>
      <c r="B242" t="s">
        <v>798</v>
      </c>
      <c r="C242" t="s">
        <v>61</v>
      </c>
      <c r="D242" t="s">
        <v>50</v>
      </c>
      <c r="E242" t="s">
        <v>32</v>
      </c>
      <c r="F242" t="s">
        <v>28</v>
      </c>
      <c r="G242" t="s">
        <v>51</v>
      </c>
      <c r="H242">
        <v>55</v>
      </c>
      <c r="I242" s="1">
        <v>41594</v>
      </c>
      <c r="J242" s="2">
        <v>124129</v>
      </c>
      <c r="K242" s="3">
        <v>0.15</v>
      </c>
      <c r="L242" t="s">
        <v>52</v>
      </c>
      <c r="M242" t="s">
        <v>53</v>
      </c>
      <c r="N242" s="1" t="s">
        <v>21</v>
      </c>
      <c r="O242" s="1" t="str">
        <f>IF(OR(TBL_Employees[[#This Row],[Exit Date]],FALSE),"Left employees", "Current employees")</f>
        <v>Current employees</v>
      </c>
    </row>
    <row r="243" spans="1:15" x14ac:dyDescent="0.35">
      <c r="A243" t="s">
        <v>96</v>
      </c>
      <c r="B243" t="s">
        <v>799</v>
      </c>
      <c r="C243" t="s">
        <v>58</v>
      </c>
      <c r="D243" t="s">
        <v>31</v>
      </c>
      <c r="E243" t="s">
        <v>36</v>
      </c>
      <c r="F243" t="s">
        <v>28</v>
      </c>
      <c r="G243" t="s">
        <v>51</v>
      </c>
      <c r="H243">
        <v>36</v>
      </c>
      <c r="I243" s="1">
        <v>39912</v>
      </c>
      <c r="J243" s="2">
        <v>60055</v>
      </c>
      <c r="K243" s="3">
        <v>0</v>
      </c>
      <c r="L243" t="s">
        <v>19</v>
      </c>
      <c r="M243" t="s">
        <v>63</v>
      </c>
      <c r="N243" s="1" t="s">
        <v>21</v>
      </c>
      <c r="O243" s="1" t="str">
        <f>IF(OR(TBL_Employees[[#This Row],[Exit Date]],FALSE),"Left employees", "Current employees")</f>
        <v>Current employees</v>
      </c>
    </row>
    <row r="244" spans="1:15" x14ac:dyDescent="0.35">
      <c r="A244" t="s">
        <v>108</v>
      </c>
      <c r="B244" t="s">
        <v>800</v>
      </c>
      <c r="C244" t="s">
        <v>40</v>
      </c>
      <c r="D244" t="s">
        <v>31</v>
      </c>
      <c r="E244" t="s">
        <v>16</v>
      </c>
      <c r="F244" t="s">
        <v>28</v>
      </c>
      <c r="G244" t="s">
        <v>51</v>
      </c>
      <c r="H244">
        <v>31</v>
      </c>
      <c r="I244" s="1">
        <v>44069</v>
      </c>
      <c r="J244" s="2">
        <v>189290</v>
      </c>
      <c r="K244" s="3">
        <v>0.22</v>
      </c>
      <c r="L244" t="s">
        <v>52</v>
      </c>
      <c r="M244" t="s">
        <v>53</v>
      </c>
      <c r="N244" s="1">
        <v>44099</v>
      </c>
      <c r="O244" s="1" t="str">
        <f>IF(OR(TBL_Employees[[#This Row],[Exit Date]],FALSE),"Left employees", "Current employees")</f>
        <v>Left employees</v>
      </c>
    </row>
    <row r="245" spans="1:15" x14ac:dyDescent="0.35">
      <c r="A245" t="s">
        <v>801</v>
      </c>
      <c r="B245" t="s">
        <v>802</v>
      </c>
      <c r="C245" t="s">
        <v>14</v>
      </c>
      <c r="D245" t="s">
        <v>27</v>
      </c>
      <c r="E245" t="s">
        <v>32</v>
      </c>
      <c r="F245" t="s">
        <v>17</v>
      </c>
      <c r="G245" t="s">
        <v>24</v>
      </c>
      <c r="H245">
        <v>53</v>
      </c>
      <c r="I245" s="1">
        <v>39568</v>
      </c>
      <c r="J245" s="2">
        <v>182202</v>
      </c>
      <c r="K245" s="3">
        <v>0.3</v>
      </c>
      <c r="L245" t="s">
        <v>19</v>
      </c>
      <c r="M245" t="s">
        <v>25</v>
      </c>
      <c r="N245" s="1" t="s">
        <v>21</v>
      </c>
      <c r="O245" s="1" t="str">
        <f>IF(OR(TBL_Employees[[#This Row],[Exit Date]],FALSE),"Left employees", "Current employees")</f>
        <v>Current employees</v>
      </c>
    </row>
    <row r="246" spans="1:15" x14ac:dyDescent="0.35">
      <c r="A246" t="s">
        <v>803</v>
      </c>
      <c r="B246" t="s">
        <v>804</v>
      </c>
      <c r="C246" t="s">
        <v>62</v>
      </c>
      <c r="D246" t="s">
        <v>50</v>
      </c>
      <c r="E246" t="s">
        <v>44</v>
      </c>
      <c r="F246" t="s">
        <v>28</v>
      </c>
      <c r="G246" t="s">
        <v>18</v>
      </c>
      <c r="H246">
        <v>43</v>
      </c>
      <c r="I246" s="1">
        <v>38748</v>
      </c>
      <c r="J246" s="2">
        <v>117518</v>
      </c>
      <c r="K246" s="3">
        <v>7.0000000000000007E-2</v>
      </c>
      <c r="L246" t="s">
        <v>19</v>
      </c>
      <c r="M246" t="s">
        <v>63</v>
      </c>
      <c r="N246" s="1" t="s">
        <v>21</v>
      </c>
      <c r="O246" s="1" t="str">
        <f>IF(OR(TBL_Employees[[#This Row],[Exit Date]],FALSE),"Left employees", "Current employees")</f>
        <v>Current employees</v>
      </c>
    </row>
    <row r="247" spans="1:15" x14ac:dyDescent="0.35">
      <c r="A247" t="s">
        <v>805</v>
      </c>
      <c r="B247" t="s">
        <v>806</v>
      </c>
      <c r="C247" t="s">
        <v>61</v>
      </c>
      <c r="D247" t="s">
        <v>15</v>
      </c>
      <c r="E247" t="s">
        <v>36</v>
      </c>
      <c r="F247" t="s">
        <v>17</v>
      </c>
      <c r="G247" t="s">
        <v>51</v>
      </c>
      <c r="H247">
        <v>37</v>
      </c>
      <c r="I247" s="1">
        <v>41329</v>
      </c>
      <c r="J247" s="2">
        <v>157474</v>
      </c>
      <c r="K247" s="3">
        <v>0.11</v>
      </c>
      <c r="L247" t="s">
        <v>52</v>
      </c>
      <c r="M247" t="s">
        <v>66</v>
      </c>
      <c r="N247" s="1" t="s">
        <v>21</v>
      </c>
      <c r="O247" s="1" t="str">
        <f>IF(OR(TBL_Employees[[#This Row],[Exit Date]],FALSE),"Left employees", "Current employees")</f>
        <v>Current employees</v>
      </c>
    </row>
    <row r="248" spans="1:15" x14ac:dyDescent="0.35">
      <c r="A248" t="s">
        <v>807</v>
      </c>
      <c r="B248" t="s">
        <v>808</v>
      </c>
      <c r="C248" t="s">
        <v>62</v>
      </c>
      <c r="D248" t="s">
        <v>43</v>
      </c>
      <c r="E248" t="s">
        <v>36</v>
      </c>
      <c r="F248" t="s">
        <v>28</v>
      </c>
      <c r="G248" t="s">
        <v>18</v>
      </c>
      <c r="H248">
        <v>38</v>
      </c>
      <c r="I248" s="1">
        <v>39544</v>
      </c>
      <c r="J248" s="2">
        <v>126856</v>
      </c>
      <c r="K248" s="3">
        <v>0.06</v>
      </c>
      <c r="L248" t="s">
        <v>19</v>
      </c>
      <c r="M248" t="s">
        <v>29</v>
      </c>
      <c r="N248" s="1" t="s">
        <v>21</v>
      </c>
      <c r="O248" s="1" t="str">
        <f>IF(OR(TBL_Employees[[#This Row],[Exit Date]],FALSE),"Left employees", "Current employees")</f>
        <v>Current employees</v>
      </c>
    </row>
    <row r="249" spans="1:15" x14ac:dyDescent="0.35">
      <c r="A249" t="s">
        <v>809</v>
      </c>
      <c r="B249" t="s">
        <v>810</v>
      </c>
      <c r="C249" t="s">
        <v>61</v>
      </c>
      <c r="D249" t="s">
        <v>65</v>
      </c>
      <c r="E249" t="s">
        <v>36</v>
      </c>
      <c r="F249" t="s">
        <v>17</v>
      </c>
      <c r="G249" t="s">
        <v>24</v>
      </c>
      <c r="H249">
        <v>49</v>
      </c>
      <c r="I249" s="1">
        <v>36983</v>
      </c>
      <c r="J249" s="2">
        <v>129124</v>
      </c>
      <c r="K249" s="3">
        <v>0.12</v>
      </c>
      <c r="L249" t="s">
        <v>33</v>
      </c>
      <c r="M249" t="s">
        <v>74</v>
      </c>
      <c r="N249" s="1" t="s">
        <v>21</v>
      </c>
      <c r="O249" s="1" t="str">
        <f>IF(OR(TBL_Employees[[#This Row],[Exit Date]],FALSE),"Left employees", "Current employees")</f>
        <v>Current employees</v>
      </c>
    </row>
    <row r="250" spans="1:15" x14ac:dyDescent="0.35">
      <c r="A250" t="s">
        <v>811</v>
      </c>
      <c r="B250" t="s">
        <v>812</v>
      </c>
      <c r="C250" t="s">
        <v>40</v>
      </c>
      <c r="D250" t="s">
        <v>50</v>
      </c>
      <c r="E250" t="s">
        <v>16</v>
      </c>
      <c r="F250" t="s">
        <v>17</v>
      </c>
      <c r="G250" t="s">
        <v>24</v>
      </c>
      <c r="H250">
        <v>45</v>
      </c>
      <c r="I250" s="1">
        <v>37316</v>
      </c>
      <c r="J250" s="2">
        <v>165181</v>
      </c>
      <c r="K250" s="3">
        <v>0.16</v>
      </c>
      <c r="L250" t="s">
        <v>19</v>
      </c>
      <c r="M250" t="s">
        <v>63</v>
      </c>
      <c r="N250" s="1" t="s">
        <v>21</v>
      </c>
      <c r="O250" s="1" t="str">
        <f>IF(OR(TBL_Employees[[#This Row],[Exit Date]],FALSE),"Left employees", "Current employees")</f>
        <v>Current employees</v>
      </c>
    </row>
    <row r="251" spans="1:15" x14ac:dyDescent="0.35">
      <c r="A251" t="s">
        <v>813</v>
      </c>
      <c r="B251" t="s">
        <v>814</v>
      </c>
      <c r="C251" t="s">
        <v>14</v>
      </c>
      <c r="D251" t="s">
        <v>15</v>
      </c>
      <c r="E251" t="s">
        <v>32</v>
      </c>
      <c r="F251" t="s">
        <v>28</v>
      </c>
      <c r="G251" t="s">
        <v>51</v>
      </c>
      <c r="H251">
        <v>50</v>
      </c>
      <c r="I251" s="1">
        <v>38004</v>
      </c>
      <c r="J251" s="2">
        <v>247939</v>
      </c>
      <c r="K251" s="3">
        <v>0.35</v>
      </c>
      <c r="L251" t="s">
        <v>52</v>
      </c>
      <c r="M251" t="s">
        <v>66</v>
      </c>
      <c r="N251" s="1" t="s">
        <v>21</v>
      </c>
      <c r="O251" s="1" t="str">
        <f>IF(OR(TBL_Employees[[#This Row],[Exit Date]],FALSE),"Left employees", "Current employees")</f>
        <v>Current employees</v>
      </c>
    </row>
    <row r="252" spans="1:15" x14ac:dyDescent="0.35">
      <c r="A252" t="s">
        <v>815</v>
      </c>
      <c r="B252" t="s">
        <v>816</v>
      </c>
      <c r="C252" t="s">
        <v>40</v>
      </c>
      <c r="D252" t="s">
        <v>31</v>
      </c>
      <c r="E252" t="s">
        <v>44</v>
      </c>
      <c r="F252" t="s">
        <v>28</v>
      </c>
      <c r="G252" t="s">
        <v>51</v>
      </c>
      <c r="H252">
        <v>64</v>
      </c>
      <c r="I252" s="1">
        <v>42972</v>
      </c>
      <c r="J252" s="2">
        <v>169509</v>
      </c>
      <c r="K252" s="3">
        <v>0.18</v>
      </c>
      <c r="L252" t="s">
        <v>52</v>
      </c>
      <c r="M252" t="s">
        <v>81</v>
      </c>
      <c r="N252" s="1" t="s">
        <v>21</v>
      </c>
      <c r="O252" s="1" t="str">
        <f>IF(OR(TBL_Employees[[#This Row],[Exit Date]],FALSE),"Left employees", "Current employees")</f>
        <v>Current employees</v>
      </c>
    </row>
    <row r="253" spans="1:15" x14ac:dyDescent="0.35">
      <c r="A253" t="s">
        <v>817</v>
      </c>
      <c r="B253" t="s">
        <v>818</v>
      </c>
      <c r="C253" t="s">
        <v>61</v>
      </c>
      <c r="D253" t="s">
        <v>65</v>
      </c>
      <c r="E253" t="s">
        <v>36</v>
      </c>
      <c r="F253" t="s">
        <v>17</v>
      </c>
      <c r="G253" t="s">
        <v>18</v>
      </c>
      <c r="H253">
        <v>55</v>
      </c>
      <c r="I253" s="1">
        <v>40552</v>
      </c>
      <c r="J253" s="2">
        <v>138521</v>
      </c>
      <c r="K253" s="3">
        <v>0.1</v>
      </c>
      <c r="L253" t="s">
        <v>19</v>
      </c>
      <c r="M253" t="s">
        <v>45</v>
      </c>
      <c r="N253" s="1" t="s">
        <v>21</v>
      </c>
      <c r="O253" s="1" t="str">
        <f>IF(OR(TBL_Employees[[#This Row],[Exit Date]],FALSE),"Left employees", "Current employees")</f>
        <v>Current employees</v>
      </c>
    </row>
    <row r="254" spans="1:15" x14ac:dyDescent="0.35">
      <c r="A254" t="s">
        <v>819</v>
      </c>
      <c r="B254" t="s">
        <v>820</v>
      </c>
      <c r="C254" t="s">
        <v>97</v>
      </c>
      <c r="D254" t="s">
        <v>31</v>
      </c>
      <c r="E254" t="s">
        <v>44</v>
      </c>
      <c r="F254" t="s">
        <v>17</v>
      </c>
      <c r="G254" t="s">
        <v>51</v>
      </c>
      <c r="H254">
        <v>45</v>
      </c>
      <c r="I254" s="1">
        <v>41712</v>
      </c>
      <c r="J254" s="2">
        <v>113873</v>
      </c>
      <c r="K254" s="3">
        <v>0.11</v>
      </c>
      <c r="L254" t="s">
        <v>52</v>
      </c>
      <c r="M254" t="s">
        <v>66</v>
      </c>
      <c r="N254" s="1" t="s">
        <v>21</v>
      </c>
      <c r="O254" s="1" t="str">
        <f>IF(OR(TBL_Employees[[#This Row],[Exit Date]],FALSE),"Left employees", "Current employees")</f>
        <v>Current employees</v>
      </c>
    </row>
    <row r="255" spans="1:15" x14ac:dyDescent="0.35">
      <c r="A255" t="s">
        <v>157</v>
      </c>
      <c r="B255" t="s">
        <v>821</v>
      </c>
      <c r="C255" t="s">
        <v>26</v>
      </c>
      <c r="D255" t="s">
        <v>27</v>
      </c>
      <c r="E255" t="s">
        <v>32</v>
      </c>
      <c r="F255" t="s">
        <v>17</v>
      </c>
      <c r="G255" t="s">
        <v>47</v>
      </c>
      <c r="H255">
        <v>39</v>
      </c>
      <c r="I255" s="1">
        <v>43229</v>
      </c>
      <c r="J255" s="2">
        <v>73317</v>
      </c>
      <c r="K255" s="3">
        <v>0</v>
      </c>
      <c r="L255" t="s">
        <v>19</v>
      </c>
      <c r="M255" t="s">
        <v>45</v>
      </c>
      <c r="N255" s="1" t="s">
        <v>21</v>
      </c>
      <c r="O255" s="1" t="str">
        <f>IF(OR(TBL_Employees[[#This Row],[Exit Date]],FALSE),"Left employees", "Current employees")</f>
        <v>Current employees</v>
      </c>
    </row>
    <row r="256" spans="1:15" x14ac:dyDescent="0.35">
      <c r="A256" t="s">
        <v>822</v>
      </c>
      <c r="B256" t="s">
        <v>823</v>
      </c>
      <c r="C256" t="s">
        <v>82</v>
      </c>
      <c r="D256" t="s">
        <v>27</v>
      </c>
      <c r="E256" t="s">
        <v>44</v>
      </c>
      <c r="F256" t="s">
        <v>17</v>
      </c>
      <c r="G256" t="s">
        <v>24</v>
      </c>
      <c r="H256">
        <v>40</v>
      </c>
      <c r="I256" s="1">
        <v>41451</v>
      </c>
      <c r="J256" s="2">
        <v>69096</v>
      </c>
      <c r="K256" s="3">
        <v>0</v>
      </c>
      <c r="L256" t="s">
        <v>19</v>
      </c>
      <c r="M256" t="s">
        <v>63</v>
      </c>
      <c r="N256" s="1" t="s">
        <v>21</v>
      </c>
      <c r="O256" s="1" t="str">
        <f>IF(OR(TBL_Employees[[#This Row],[Exit Date]],FALSE),"Left employees", "Current employees")</f>
        <v>Current employees</v>
      </c>
    </row>
    <row r="257" spans="1:15" x14ac:dyDescent="0.35">
      <c r="A257" t="s">
        <v>824</v>
      </c>
      <c r="B257" t="s">
        <v>825</v>
      </c>
      <c r="C257" t="s">
        <v>77</v>
      </c>
      <c r="D257" t="s">
        <v>23</v>
      </c>
      <c r="E257" t="s">
        <v>36</v>
      </c>
      <c r="F257" t="s">
        <v>28</v>
      </c>
      <c r="G257" t="s">
        <v>51</v>
      </c>
      <c r="H257">
        <v>48</v>
      </c>
      <c r="I257" s="1">
        <v>38454</v>
      </c>
      <c r="J257" s="2">
        <v>87158</v>
      </c>
      <c r="K257" s="3">
        <v>0</v>
      </c>
      <c r="L257" t="s">
        <v>52</v>
      </c>
      <c r="M257" t="s">
        <v>81</v>
      </c>
      <c r="N257" s="1" t="s">
        <v>21</v>
      </c>
      <c r="O257" s="1" t="str">
        <f>IF(OR(TBL_Employees[[#This Row],[Exit Date]],FALSE),"Left employees", "Current employees")</f>
        <v>Current employees</v>
      </c>
    </row>
    <row r="258" spans="1:15" x14ac:dyDescent="0.35">
      <c r="A258" t="s">
        <v>826</v>
      </c>
      <c r="B258" t="s">
        <v>827</v>
      </c>
      <c r="C258" t="s">
        <v>58</v>
      </c>
      <c r="D258" t="s">
        <v>31</v>
      </c>
      <c r="E258" t="s">
        <v>32</v>
      </c>
      <c r="F258" t="s">
        <v>28</v>
      </c>
      <c r="G258" t="s">
        <v>51</v>
      </c>
      <c r="H258">
        <v>64</v>
      </c>
      <c r="I258" s="1">
        <v>33875</v>
      </c>
      <c r="J258" s="2">
        <v>70778</v>
      </c>
      <c r="K258" s="3">
        <v>0</v>
      </c>
      <c r="L258" t="s">
        <v>19</v>
      </c>
      <c r="M258" t="s">
        <v>25</v>
      </c>
      <c r="N258" s="1" t="s">
        <v>21</v>
      </c>
      <c r="O258" s="1" t="str">
        <f>IF(OR(TBL_Employees[[#This Row],[Exit Date]],FALSE),"Left employees", "Current employees")</f>
        <v>Current employees</v>
      </c>
    </row>
    <row r="259" spans="1:15" x14ac:dyDescent="0.35">
      <c r="A259" t="s">
        <v>828</v>
      </c>
      <c r="B259" t="s">
        <v>829</v>
      </c>
      <c r="C259" t="s">
        <v>40</v>
      </c>
      <c r="D259" t="s">
        <v>23</v>
      </c>
      <c r="E259" t="s">
        <v>44</v>
      </c>
      <c r="F259" t="s">
        <v>17</v>
      </c>
      <c r="G259" t="s">
        <v>51</v>
      </c>
      <c r="H259">
        <v>65</v>
      </c>
      <c r="I259" s="1">
        <v>38130</v>
      </c>
      <c r="J259" s="2">
        <v>153938</v>
      </c>
      <c r="K259" s="3">
        <v>0.2</v>
      </c>
      <c r="L259" t="s">
        <v>19</v>
      </c>
      <c r="M259" t="s">
        <v>39</v>
      </c>
      <c r="N259" s="1" t="s">
        <v>21</v>
      </c>
      <c r="O259" s="1" t="str">
        <f>IF(OR(TBL_Employees[[#This Row],[Exit Date]],FALSE),"Left employees", "Current employees")</f>
        <v>Current employees</v>
      </c>
    </row>
    <row r="260" spans="1:15" x14ac:dyDescent="0.35">
      <c r="A260" t="s">
        <v>354</v>
      </c>
      <c r="B260" t="s">
        <v>830</v>
      </c>
      <c r="C260" t="s">
        <v>76</v>
      </c>
      <c r="D260" t="s">
        <v>27</v>
      </c>
      <c r="E260" t="s">
        <v>16</v>
      </c>
      <c r="F260" t="s">
        <v>28</v>
      </c>
      <c r="G260" t="s">
        <v>24</v>
      </c>
      <c r="H260">
        <v>43</v>
      </c>
      <c r="I260" s="1">
        <v>43224</v>
      </c>
      <c r="J260" s="2">
        <v>59888</v>
      </c>
      <c r="K260" s="3">
        <v>0</v>
      </c>
      <c r="L260" t="s">
        <v>33</v>
      </c>
      <c r="M260" t="s">
        <v>60</v>
      </c>
      <c r="N260" s="1" t="s">
        <v>21</v>
      </c>
      <c r="O260" s="1" t="str">
        <f>IF(OR(TBL_Employees[[#This Row],[Exit Date]],FALSE),"Left employees", "Current employees")</f>
        <v>Current employees</v>
      </c>
    </row>
    <row r="261" spans="1:15" x14ac:dyDescent="0.35">
      <c r="A261" t="s">
        <v>113</v>
      </c>
      <c r="B261" t="s">
        <v>831</v>
      </c>
      <c r="C261" t="s">
        <v>58</v>
      </c>
      <c r="D261" t="s">
        <v>31</v>
      </c>
      <c r="E261" t="s">
        <v>32</v>
      </c>
      <c r="F261" t="s">
        <v>28</v>
      </c>
      <c r="G261" t="s">
        <v>18</v>
      </c>
      <c r="H261">
        <v>50</v>
      </c>
      <c r="I261" s="1">
        <v>43447</v>
      </c>
      <c r="J261" s="2">
        <v>63098</v>
      </c>
      <c r="K261" s="3">
        <v>0</v>
      </c>
      <c r="L261" t="s">
        <v>19</v>
      </c>
      <c r="M261" t="s">
        <v>29</v>
      </c>
      <c r="N261" s="1" t="s">
        <v>21</v>
      </c>
      <c r="O261" s="1" t="str">
        <f>IF(OR(TBL_Employees[[#This Row],[Exit Date]],FALSE),"Left employees", "Current employees")</f>
        <v>Current employees</v>
      </c>
    </row>
    <row r="262" spans="1:15" x14ac:dyDescent="0.35">
      <c r="A262" t="s">
        <v>832</v>
      </c>
      <c r="B262" t="s">
        <v>833</v>
      </c>
      <c r="C262" t="s">
        <v>14</v>
      </c>
      <c r="D262" t="s">
        <v>15</v>
      </c>
      <c r="E262" t="s">
        <v>32</v>
      </c>
      <c r="F262" t="s">
        <v>17</v>
      </c>
      <c r="G262" t="s">
        <v>51</v>
      </c>
      <c r="H262">
        <v>27</v>
      </c>
      <c r="I262" s="1">
        <v>44545</v>
      </c>
      <c r="J262" s="2">
        <v>255369</v>
      </c>
      <c r="K262" s="3">
        <v>0.33</v>
      </c>
      <c r="L262" t="s">
        <v>52</v>
      </c>
      <c r="M262" t="s">
        <v>53</v>
      </c>
      <c r="N262" s="1" t="s">
        <v>21</v>
      </c>
      <c r="O262" s="1" t="str">
        <f>IF(OR(TBL_Employees[[#This Row],[Exit Date]],FALSE),"Left employees", "Current employees")</f>
        <v>Current employees</v>
      </c>
    </row>
    <row r="263" spans="1:15" x14ac:dyDescent="0.35">
      <c r="A263" t="s">
        <v>138</v>
      </c>
      <c r="B263" t="s">
        <v>834</v>
      </c>
      <c r="C263" t="s">
        <v>61</v>
      </c>
      <c r="D263" t="s">
        <v>23</v>
      </c>
      <c r="E263" t="s">
        <v>36</v>
      </c>
      <c r="F263" t="s">
        <v>17</v>
      </c>
      <c r="G263" t="s">
        <v>47</v>
      </c>
      <c r="H263">
        <v>55</v>
      </c>
      <c r="I263" s="1">
        <v>38301</v>
      </c>
      <c r="J263" s="2">
        <v>142318</v>
      </c>
      <c r="K263" s="3">
        <v>0.14000000000000001</v>
      </c>
      <c r="L263" t="s">
        <v>19</v>
      </c>
      <c r="M263" t="s">
        <v>20</v>
      </c>
      <c r="N263" s="1" t="s">
        <v>21</v>
      </c>
      <c r="O263" s="1" t="str">
        <f>IF(OR(TBL_Employees[[#This Row],[Exit Date]],FALSE),"Left employees", "Current employees")</f>
        <v>Current employees</v>
      </c>
    </row>
    <row r="264" spans="1:15" x14ac:dyDescent="0.35">
      <c r="A264" t="s">
        <v>319</v>
      </c>
      <c r="B264" t="s">
        <v>835</v>
      </c>
      <c r="C264" t="s">
        <v>83</v>
      </c>
      <c r="D264" t="s">
        <v>23</v>
      </c>
      <c r="E264" t="s">
        <v>36</v>
      </c>
      <c r="F264" t="s">
        <v>28</v>
      </c>
      <c r="G264" t="s">
        <v>47</v>
      </c>
      <c r="H264">
        <v>41</v>
      </c>
      <c r="I264" s="1">
        <v>38219</v>
      </c>
      <c r="J264" s="2">
        <v>49186</v>
      </c>
      <c r="K264" s="3">
        <v>0</v>
      </c>
      <c r="L264" t="s">
        <v>19</v>
      </c>
      <c r="M264" t="s">
        <v>25</v>
      </c>
      <c r="N264" s="1">
        <v>39616</v>
      </c>
      <c r="O264" s="1" t="str">
        <f>IF(OR(TBL_Employees[[#This Row],[Exit Date]],FALSE),"Left employees", "Current employees")</f>
        <v>Left employees</v>
      </c>
    </row>
    <row r="265" spans="1:15" x14ac:dyDescent="0.35">
      <c r="A265" t="s">
        <v>836</v>
      </c>
      <c r="B265" t="s">
        <v>837</v>
      </c>
      <c r="C265" t="s">
        <v>14</v>
      </c>
      <c r="D265" t="s">
        <v>23</v>
      </c>
      <c r="E265" t="s">
        <v>16</v>
      </c>
      <c r="F265" t="s">
        <v>17</v>
      </c>
      <c r="G265" t="s">
        <v>47</v>
      </c>
      <c r="H265">
        <v>34</v>
      </c>
      <c r="I265" s="1">
        <v>43673</v>
      </c>
      <c r="J265" s="2">
        <v>220937</v>
      </c>
      <c r="K265" s="3">
        <v>0.38</v>
      </c>
      <c r="L265" t="s">
        <v>19</v>
      </c>
      <c r="M265" t="s">
        <v>25</v>
      </c>
      <c r="N265" s="1" t="s">
        <v>21</v>
      </c>
      <c r="O265" s="1" t="str">
        <f>IF(OR(TBL_Employees[[#This Row],[Exit Date]],FALSE),"Left employees", "Current employees")</f>
        <v>Current employees</v>
      </c>
    </row>
    <row r="266" spans="1:15" x14ac:dyDescent="0.35">
      <c r="A266" t="s">
        <v>838</v>
      </c>
      <c r="B266" t="s">
        <v>839</v>
      </c>
      <c r="C266" t="s">
        <v>40</v>
      </c>
      <c r="D266" t="s">
        <v>27</v>
      </c>
      <c r="E266" t="s">
        <v>44</v>
      </c>
      <c r="F266" t="s">
        <v>17</v>
      </c>
      <c r="G266" t="s">
        <v>24</v>
      </c>
      <c r="H266">
        <v>47</v>
      </c>
      <c r="I266" s="1">
        <v>41208</v>
      </c>
      <c r="J266" s="2">
        <v>183156</v>
      </c>
      <c r="K266" s="3">
        <v>0.3</v>
      </c>
      <c r="L266" t="s">
        <v>19</v>
      </c>
      <c r="M266" t="s">
        <v>63</v>
      </c>
      <c r="N266" s="1" t="s">
        <v>21</v>
      </c>
      <c r="O266" s="1" t="str">
        <f>IF(OR(TBL_Employees[[#This Row],[Exit Date]],FALSE),"Left employees", "Current employees")</f>
        <v>Current employees</v>
      </c>
    </row>
    <row r="267" spans="1:15" x14ac:dyDescent="0.35">
      <c r="A267" t="s">
        <v>840</v>
      </c>
      <c r="B267" t="s">
        <v>841</v>
      </c>
      <c r="C267" t="s">
        <v>14</v>
      </c>
      <c r="D267" t="s">
        <v>27</v>
      </c>
      <c r="E267" t="s">
        <v>44</v>
      </c>
      <c r="F267" t="s">
        <v>17</v>
      </c>
      <c r="G267" t="s">
        <v>51</v>
      </c>
      <c r="H267">
        <v>32</v>
      </c>
      <c r="I267" s="1">
        <v>44034</v>
      </c>
      <c r="J267" s="2">
        <v>192749</v>
      </c>
      <c r="K267" s="3">
        <v>0.31</v>
      </c>
      <c r="L267" t="s">
        <v>19</v>
      </c>
      <c r="M267" t="s">
        <v>20</v>
      </c>
      <c r="N267" s="1" t="s">
        <v>21</v>
      </c>
      <c r="O267" s="1" t="str">
        <f>IF(OR(TBL_Employees[[#This Row],[Exit Date]],FALSE),"Left employees", "Current employees")</f>
        <v>Current employees</v>
      </c>
    </row>
    <row r="268" spans="1:15" x14ac:dyDescent="0.35">
      <c r="A268" t="s">
        <v>842</v>
      </c>
      <c r="B268" t="s">
        <v>843</v>
      </c>
      <c r="C268" t="s">
        <v>61</v>
      </c>
      <c r="D268" t="s">
        <v>27</v>
      </c>
      <c r="E268" t="s">
        <v>36</v>
      </c>
      <c r="F268" t="s">
        <v>17</v>
      </c>
      <c r="G268" t="s">
        <v>24</v>
      </c>
      <c r="H268">
        <v>39</v>
      </c>
      <c r="I268" s="1">
        <v>42819</v>
      </c>
      <c r="J268" s="2">
        <v>135325</v>
      </c>
      <c r="K268" s="3">
        <v>0.14000000000000001</v>
      </c>
      <c r="L268" t="s">
        <v>19</v>
      </c>
      <c r="M268" t="s">
        <v>39</v>
      </c>
      <c r="N268" s="1" t="s">
        <v>21</v>
      </c>
      <c r="O268" s="1" t="str">
        <f>IF(OR(TBL_Employees[[#This Row],[Exit Date]],FALSE),"Left employees", "Current employees")</f>
        <v>Current employees</v>
      </c>
    </row>
    <row r="269" spans="1:15" x14ac:dyDescent="0.35">
      <c r="A269" t="s">
        <v>844</v>
      </c>
      <c r="B269" t="s">
        <v>845</v>
      </c>
      <c r="C269" t="s">
        <v>42</v>
      </c>
      <c r="D269" t="s">
        <v>50</v>
      </c>
      <c r="E269" t="s">
        <v>44</v>
      </c>
      <c r="F269" t="s">
        <v>17</v>
      </c>
      <c r="G269" t="s">
        <v>18</v>
      </c>
      <c r="H269">
        <v>26</v>
      </c>
      <c r="I269" s="1">
        <v>43752</v>
      </c>
      <c r="J269" s="2">
        <v>79356</v>
      </c>
      <c r="K269" s="3">
        <v>0</v>
      </c>
      <c r="L269" t="s">
        <v>19</v>
      </c>
      <c r="M269" t="s">
        <v>39</v>
      </c>
      <c r="N269" s="1" t="s">
        <v>21</v>
      </c>
      <c r="O269" s="1" t="str">
        <f>IF(OR(TBL_Employees[[#This Row],[Exit Date]],FALSE),"Left employees", "Current employees")</f>
        <v>Current employees</v>
      </c>
    </row>
    <row r="270" spans="1:15" x14ac:dyDescent="0.35">
      <c r="A270" t="s">
        <v>846</v>
      </c>
      <c r="B270" t="s">
        <v>847</v>
      </c>
      <c r="C270" t="s">
        <v>86</v>
      </c>
      <c r="D270" t="s">
        <v>31</v>
      </c>
      <c r="E270" t="s">
        <v>36</v>
      </c>
      <c r="F270" t="s">
        <v>28</v>
      </c>
      <c r="G270" t="s">
        <v>47</v>
      </c>
      <c r="H270">
        <v>40</v>
      </c>
      <c r="I270" s="1">
        <v>38540</v>
      </c>
      <c r="J270" s="2">
        <v>74412</v>
      </c>
      <c r="K270" s="3">
        <v>0</v>
      </c>
      <c r="L270" t="s">
        <v>19</v>
      </c>
      <c r="M270" t="s">
        <v>63</v>
      </c>
      <c r="N270" s="1" t="s">
        <v>21</v>
      </c>
      <c r="O270" s="1" t="str">
        <f>IF(OR(TBL_Employees[[#This Row],[Exit Date]],FALSE),"Left employees", "Current employees")</f>
        <v>Current employees</v>
      </c>
    </row>
    <row r="271" spans="1:15" x14ac:dyDescent="0.35">
      <c r="A271" t="s">
        <v>539</v>
      </c>
      <c r="B271" t="s">
        <v>848</v>
      </c>
      <c r="C271" t="s">
        <v>56</v>
      </c>
      <c r="D271" t="s">
        <v>27</v>
      </c>
      <c r="E271" t="s">
        <v>36</v>
      </c>
      <c r="F271" t="s">
        <v>17</v>
      </c>
      <c r="G271" t="s">
        <v>51</v>
      </c>
      <c r="H271">
        <v>32</v>
      </c>
      <c r="I271" s="1">
        <v>43010</v>
      </c>
      <c r="J271" s="2">
        <v>61886</v>
      </c>
      <c r="K271" s="3">
        <v>0.09</v>
      </c>
      <c r="L271" t="s">
        <v>52</v>
      </c>
      <c r="M271" t="s">
        <v>66</v>
      </c>
      <c r="N271" s="1" t="s">
        <v>21</v>
      </c>
      <c r="O271" s="1" t="str">
        <f>IF(OR(TBL_Employees[[#This Row],[Exit Date]],FALSE),"Left employees", "Current employees")</f>
        <v>Current employees</v>
      </c>
    </row>
    <row r="272" spans="1:15" x14ac:dyDescent="0.35">
      <c r="A272" t="s">
        <v>211</v>
      </c>
      <c r="B272" t="s">
        <v>849</v>
      </c>
      <c r="C272" t="s">
        <v>40</v>
      </c>
      <c r="D272" t="s">
        <v>65</v>
      </c>
      <c r="E272" t="s">
        <v>16</v>
      </c>
      <c r="F272" t="s">
        <v>17</v>
      </c>
      <c r="G272" t="s">
        <v>24</v>
      </c>
      <c r="H272">
        <v>58</v>
      </c>
      <c r="I272" s="1">
        <v>37755</v>
      </c>
      <c r="J272" s="2">
        <v>173071</v>
      </c>
      <c r="K272" s="3">
        <v>0.28999999999999998</v>
      </c>
      <c r="L272" t="s">
        <v>19</v>
      </c>
      <c r="M272" t="s">
        <v>29</v>
      </c>
      <c r="N272" s="1" t="s">
        <v>21</v>
      </c>
      <c r="O272" s="1" t="str">
        <f>IF(OR(TBL_Employees[[#This Row],[Exit Date]],FALSE),"Left employees", "Current employees")</f>
        <v>Current employees</v>
      </c>
    </row>
    <row r="273" spans="1:15" x14ac:dyDescent="0.35">
      <c r="A273" t="s">
        <v>299</v>
      </c>
      <c r="B273" t="s">
        <v>850</v>
      </c>
      <c r="C273" t="s">
        <v>129</v>
      </c>
      <c r="D273" t="s">
        <v>31</v>
      </c>
      <c r="E273" t="s">
        <v>16</v>
      </c>
      <c r="F273" t="s">
        <v>17</v>
      </c>
      <c r="G273" t="s">
        <v>18</v>
      </c>
      <c r="H273">
        <v>58</v>
      </c>
      <c r="I273" s="1">
        <v>34999</v>
      </c>
      <c r="J273" s="2">
        <v>70189</v>
      </c>
      <c r="K273" s="3">
        <v>0</v>
      </c>
      <c r="L273" t="s">
        <v>19</v>
      </c>
      <c r="M273" t="s">
        <v>29</v>
      </c>
      <c r="N273" s="1" t="s">
        <v>21</v>
      </c>
      <c r="O273" s="1" t="str">
        <f>IF(OR(TBL_Employees[[#This Row],[Exit Date]],FALSE),"Left employees", "Current employees")</f>
        <v>Current employees</v>
      </c>
    </row>
    <row r="274" spans="1:15" x14ac:dyDescent="0.35">
      <c r="A274" t="s">
        <v>263</v>
      </c>
      <c r="B274" t="s">
        <v>851</v>
      </c>
      <c r="C274" t="s">
        <v>14</v>
      </c>
      <c r="D274" t="s">
        <v>50</v>
      </c>
      <c r="E274" t="s">
        <v>16</v>
      </c>
      <c r="F274" t="s">
        <v>17</v>
      </c>
      <c r="G274" t="s">
        <v>51</v>
      </c>
      <c r="H274">
        <v>42</v>
      </c>
      <c r="I274" s="1">
        <v>41528</v>
      </c>
      <c r="J274" s="2">
        <v>181452</v>
      </c>
      <c r="K274" s="3">
        <v>0.3</v>
      </c>
      <c r="L274" t="s">
        <v>19</v>
      </c>
      <c r="M274" t="s">
        <v>29</v>
      </c>
      <c r="N274" s="1" t="s">
        <v>21</v>
      </c>
      <c r="O274" s="1" t="str">
        <f>IF(OR(TBL_Employees[[#This Row],[Exit Date]],FALSE),"Left employees", "Current employees")</f>
        <v>Current employees</v>
      </c>
    </row>
    <row r="275" spans="1:15" x14ac:dyDescent="0.35">
      <c r="A275" t="s">
        <v>852</v>
      </c>
      <c r="B275" t="s">
        <v>853</v>
      </c>
      <c r="C275" t="s">
        <v>22</v>
      </c>
      <c r="D275" t="s">
        <v>23</v>
      </c>
      <c r="E275" t="s">
        <v>44</v>
      </c>
      <c r="F275" t="s">
        <v>28</v>
      </c>
      <c r="G275" t="s">
        <v>18</v>
      </c>
      <c r="H275">
        <v>26</v>
      </c>
      <c r="I275" s="1">
        <v>44267</v>
      </c>
      <c r="J275" s="2">
        <v>70369</v>
      </c>
      <c r="K275" s="3">
        <v>0</v>
      </c>
      <c r="L275" t="s">
        <v>19</v>
      </c>
      <c r="M275" t="s">
        <v>63</v>
      </c>
      <c r="N275" s="1" t="s">
        <v>21</v>
      </c>
      <c r="O275" s="1" t="str">
        <f>IF(OR(TBL_Employees[[#This Row],[Exit Date]],FALSE),"Left employees", "Current employees")</f>
        <v>Current employees</v>
      </c>
    </row>
    <row r="276" spans="1:15" x14ac:dyDescent="0.35">
      <c r="A276" t="s">
        <v>854</v>
      </c>
      <c r="B276" t="s">
        <v>855</v>
      </c>
      <c r="C276" t="s">
        <v>42</v>
      </c>
      <c r="D276" t="s">
        <v>65</v>
      </c>
      <c r="E276" t="s">
        <v>36</v>
      </c>
      <c r="F276" t="s">
        <v>28</v>
      </c>
      <c r="G276" t="s">
        <v>51</v>
      </c>
      <c r="H276">
        <v>38</v>
      </c>
      <c r="I276" s="1">
        <v>39634</v>
      </c>
      <c r="J276" s="2">
        <v>78056</v>
      </c>
      <c r="K276" s="3">
        <v>0</v>
      </c>
      <c r="L276" t="s">
        <v>52</v>
      </c>
      <c r="M276" t="s">
        <v>53</v>
      </c>
      <c r="N276" s="1" t="s">
        <v>21</v>
      </c>
      <c r="O276" s="1" t="str">
        <f>IF(OR(TBL_Employees[[#This Row],[Exit Date]],FALSE),"Left employees", "Current employees")</f>
        <v>Current employees</v>
      </c>
    </row>
    <row r="277" spans="1:15" x14ac:dyDescent="0.35">
      <c r="A277" t="s">
        <v>856</v>
      </c>
      <c r="B277" t="s">
        <v>857</v>
      </c>
      <c r="C277" t="s">
        <v>40</v>
      </c>
      <c r="D277" t="s">
        <v>15</v>
      </c>
      <c r="E277" t="s">
        <v>16</v>
      </c>
      <c r="F277" t="s">
        <v>28</v>
      </c>
      <c r="G277" t="s">
        <v>24</v>
      </c>
      <c r="H277">
        <v>64</v>
      </c>
      <c r="I277" s="1">
        <v>35187</v>
      </c>
      <c r="J277" s="2">
        <v>189933</v>
      </c>
      <c r="K277" s="3">
        <v>0.23</v>
      </c>
      <c r="L277" t="s">
        <v>19</v>
      </c>
      <c r="M277" t="s">
        <v>45</v>
      </c>
      <c r="N277" s="1" t="s">
        <v>21</v>
      </c>
      <c r="O277" s="1" t="str">
        <f>IF(OR(TBL_Employees[[#This Row],[Exit Date]],FALSE),"Left employees", "Current employees")</f>
        <v>Current employees</v>
      </c>
    </row>
    <row r="278" spans="1:15" x14ac:dyDescent="0.35">
      <c r="A278" t="s">
        <v>296</v>
      </c>
      <c r="B278" t="s">
        <v>858</v>
      </c>
      <c r="C278" t="s">
        <v>59</v>
      </c>
      <c r="D278" t="s">
        <v>31</v>
      </c>
      <c r="E278" t="s">
        <v>44</v>
      </c>
      <c r="F278" t="s">
        <v>28</v>
      </c>
      <c r="G278" t="s">
        <v>18</v>
      </c>
      <c r="H278">
        <v>38</v>
      </c>
      <c r="I278" s="1">
        <v>40360</v>
      </c>
      <c r="J278" s="2">
        <v>78237</v>
      </c>
      <c r="K278" s="3">
        <v>0</v>
      </c>
      <c r="L278" t="s">
        <v>19</v>
      </c>
      <c r="M278" t="s">
        <v>39</v>
      </c>
      <c r="N278" s="1" t="s">
        <v>21</v>
      </c>
      <c r="O278" s="1" t="str">
        <f>IF(OR(TBL_Employees[[#This Row],[Exit Date]],FALSE),"Left employees", "Current employees")</f>
        <v>Current employees</v>
      </c>
    </row>
    <row r="279" spans="1:15" x14ac:dyDescent="0.35">
      <c r="A279" t="s">
        <v>859</v>
      </c>
      <c r="B279" t="s">
        <v>860</v>
      </c>
      <c r="C279" t="s">
        <v>68</v>
      </c>
      <c r="D279" t="s">
        <v>65</v>
      </c>
      <c r="E279" t="s">
        <v>16</v>
      </c>
      <c r="F279" t="s">
        <v>17</v>
      </c>
      <c r="G279" t="s">
        <v>51</v>
      </c>
      <c r="H279">
        <v>55</v>
      </c>
      <c r="I279" s="1">
        <v>35242</v>
      </c>
      <c r="J279" s="2">
        <v>48687</v>
      </c>
      <c r="K279" s="3">
        <v>0</v>
      </c>
      <c r="L279" t="s">
        <v>52</v>
      </c>
      <c r="M279" t="s">
        <v>66</v>
      </c>
      <c r="N279" s="1" t="s">
        <v>21</v>
      </c>
      <c r="O279" s="1" t="str">
        <f>IF(OR(TBL_Employees[[#This Row],[Exit Date]],FALSE),"Left employees", "Current employees")</f>
        <v>Current employees</v>
      </c>
    </row>
    <row r="280" spans="1:15" x14ac:dyDescent="0.35">
      <c r="A280" t="s">
        <v>861</v>
      </c>
      <c r="B280" t="s">
        <v>862</v>
      </c>
      <c r="C280" t="s">
        <v>61</v>
      </c>
      <c r="D280" t="s">
        <v>43</v>
      </c>
      <c r="E280" t="s">
        <v>36</v>
      </c>
      <c r="F280" t="s">
        <v>17</v>
      </c>
      <c r="G280" t="s">
        <v>51</v>
      </c>
      <c r="H280">
        <v>45</v>
      </c>
      <c r="I280" s="1">
        <v>38218</v>
      </c>
      <c r="J280" s="2">
        <v>121065</v>
      </c>
      <c r="K280" s="3">
        <v>0.15</v>
      </c>
      <c r="L280" t="s">
        <v>52</v>
      </c>
      <c r="M280" t="s">
        <v>66</v>
      </c>
      <c r="N280" s="1" t="s">
        <v>21</v>
      </c>
      <c r="O280" s="1" t="str">
        <f>IF(OR(TBL_Employees[[#This Row],[Exit Date]],FALSE),"Left employees", "Current employees")</f>
        <v>Current employees</v>
      </c>
    </row>
    <row r="281" spans="1:15" x14ac:dyDescent="0.35">
      <c r="A281" t="s">
        <v>863</v>
      </c>
      <c r="B281" t="s">
        <v>864</v>
      </c>
      <c r="C281" t="s">
        <v>42</v>
      </c>
      <c r="D281" t="s">
        <v>50</v>
      </c>
      <c r="E281" t="s">
        <v>32</v>
      </c>
      <c r="F281" t="s">
        <v>28</v>
      </c>
      <c r="G281" t="s">
        <v>47</v>
      </c>
      <c r="H281">
        <v>43</v>
      </c>
      <c r="I281" s="1">
        <v>38093</v>
      </c>
      <c r="J281" s="2">
        <v>94246</v>
      </c>
      <c r="K281" s="3">
        <v>0</v>
      </c>
      <c r="L281" t="s">
        <v>19</v>
      </c>
      <c r="M281" t="s">
        <v>25</v>
      </c>
      <c r="N281" s="1" t="s">
        <v>21</v>
      </c>
      <c r="O281" s="1" t="str">
        <f>IF(OR(TBL_Employees[[#This Row],[Exit Date]],FALSE),"Left employees", "Current employees")</f>
        <v>Current employees</v>
      </c>
    </row>
    <row r="282" spans="1:15" x14ac:dyDescent="0.35">
      <c r="A282" t="s">
        <v>155</v>
      </c>
      <c r="B282" t="s">
        <v>865</v>
      </c>
      <c r="C282" t="s">
        <v>76</v>
      </c>
      <c r="D282" t="s">
        <v>27</v>
      </c>
      <c r="E282" t="s">
        <v>36</v>
      </c>
      <c r="F282" t="s">
        <v>17</v>
      </c>
      <c r="G282" t="s">
        <v>24</v>
      </c>
      <c r="H282">
        <v>34</v>
      </c>
      <c r="I282" s="1">
        <v>42512</v>
      </c>
      <c r="J282" s="2">
        <v>44614</v>
      </c>
      <c r="K282" s="3">
        <v>0</v>
      </c>
      <c r="L282" t="s">
        <v>19</v>
      </c>
      <c r="M282" t="s">
        <v>45</v>
      </c>
      <c r="N282" s="1" t="s">
        <v>21</v>
      </c>
      <c r="O282" s="1" t="str">
        <f>IF(OR(TBL_Employees[[#This Row],[Exit Date]],FALSE),"Left employees", "Current employees")</f>
        <v>Current employees</v>
      </c>
    </row>
    <row r="283" spans="1:15" x14ac:dyDescent="0.35">
      <c r="A283" t="s">
        <v>866</v>
      </c>
      <c r="B283" t="s">
        <v>867</v>
      </c>
      <c r="C283" t="s">
        <v>14</v>
      </c>
      <c r="D283" t="s">
        <v>27</v>
      </c>
      <c r="E283" t="s">
        <v>16</v>
      </c>
      <c r="F283" t="s">
        <v>28</v>
      </c>
      <c r="G283" t="s">
        <v>24</v>
      </c>
      <c r="H283">
        <v>40</v>
      </c>
      <c r="I283" s="1">
        <v>44143</v>
      </c>
      <c r="J283" s="2">
        <v>234469</v>
      </c>
      <c r="K283" s="3">
        <v>0.31</v>
      </c>
      <c r="L283" t="s">
        <v>33</v>
      </c>
      <c r="M283" t="s">
        <v>34</v>
      </c>
      <c r="N283" s="1" t="s">
        <v>21</v>
      </c>
      <c r="O283" s="1" t="str">
        <f>IF(OR(TBL_Employees[[#This Row],[Exit Date]],FALSE),"Left employees", "Current employees")</f>
        <v>Current employees</v>
      </c>
    </row>
    <row r="284" spans="1:15" x14ac:dyDescent="0.35">
      <c r="A284" t="s">
        <v>868</v>
      </c>
      <c r="B284" t="s">
        <v>132</v>
      </c>
      <c r="C284" t="s">
        <v>59</v>
      </c>
      <c r="D284" t="s">
        <v>31</v>
      </c>
      <c r="E284" t="s">
        <v>16</v>
      </c>
      <c r="F284" t="s">
        <v>28</v>
      </c>
      <c r="G284" t="s">
        <v>51</v>
      </c>
      <c r="H284">
        <v>52</v>
      </c>
      <c r="I284" s="1">
        <v>44022</v>
      </c>
      <c r="J284" s="2">
        <v>88272</v>
      </c>
      <c r="K284" s="3">
        <v>0</v>
      </c>
      <c r="L284" t="s">
        <v>52</v>
      </c>
      <c r="M284" t="s">
        <v>53</v>
      </c>
      <c r="N284" s="1" t="s">
        <v>21</v>
      </c>
      <c r="O284" s="1" t="str">
        <f>IF(OR(TBL_Employees[[#This Row],[Exit Date]],FALSE),"Left employees", "Current employees")</f>
        <v>Current employees</v>
      </c>
    </row>
    <row r="285" spans="1:15" x14ac:dyDescent="0.35">
      <c r="A285" t="s">
        <v>869</v>
      </c>
      <c r="B285" t="s">
        <v>870</v>
      </c>
      <c r="C285" t="s">
        <v>64</v>
      </c>
      <c r="D285" t="s">
        <v>15</v>
      </c>
      <c r="E285" t="s">
        <v>32</v>
      </c>
      <c r="F285" t="s">
        <v>28</v>
      </c>
      <c r="G285" t="s">
        <v>24</v>
      </c>
      <c r="H285">
        <v>52</v>
      </c>
      <c r="I285" s="1">
        <v>42992</v>
      </c>
      <c r="J285" s="2">
        <v>74449</v>
      </c>
      <c r="K285" s="3">
        <v>0</v>
      </c>
      <c r="L285" t="s">
        <v>33</v>
      </c>
      <c r="M285" t="s">
        <v>60</v>
      </c>
      <c r="N285" s="1" t="s">
        <v>21</v>
      </c>
      <c r="O285" s="1" t="str">
        <f>IF(OR(TBL_Employees[[#This Row],[Exit Date]],FALSE),"Left employees", "Current employees")</f>
        <v>Current employees</v>
      </c>
    </row>
    <row r="286" spans="1:15" x14ac:dyDescent="0.35">
      <c r="A286" t="s">
        <v>871</v>
      </c>
      <c r="B286" t="s">
        <v>872</v>
      </c>
      <c r="C286" t="s">
        <v>14</v>
      </c>
      <c r="D286" t="s">
        <v>31</v>
      </c>
      <c r="E286" t="s">
        <v>44</v>
      </c>
      <c r="F286" t="s">
        <v>28</v>
      </c>
      <c r="G286" t="s">
        <v>24</v>
      </c>
      <c r="H286">
        <v>47</v>
      </c>
      <c r="I286" s="1">
        <v>41071</v>
      </c>
      <c r="J286" s="2">
        <v>222941</v>
      </c>
      <c r="K286" s="3">
        <v>0.39</v>
      </c>
      <c r="L286" t="s">
        <v>33</v>
      </c>
      <c r="M286" t="s">
        <v>60</v>
      </c>
      <c r="N286" s="1" t="s">
        <v>21</v>
      </c>
      <c r="O286" s="1" t="str">
        <f>IF(OR(TBL_Employees[[#This Row],[Exit Date]],FALSE),"Left employees", "Current employees")</f>
        <v>Current employees</v>
      </c>
    </row>
    <row r="287" spans="1:15" x14ac:dyDescent="0.35">
      <c r="A287" t="s">
        <v>394</v>
      </c>
      <c r="B287" t="s">
        <v>873</v>
      </c>
      <c r="C287" t="s">
        <v>68</v>
      </c>
      <c r="D287" t="s">
        <v>43</v>
      </c>
      <c r="E287" t="s">
        <v>36</v>
      </c>
      <c r="F287" t="s">
        <v>17</v>
      </c>
      <c r="G287" t="s">
        <v>24</v>
      </c>
      <c r="H287">
        <v>65</v>
      </c>
      <c r="I287" s="1">
        <v>41543</v>
      </c>
      <c r="J287" s="2">
        <v>50341</v>
      </c>
      <c r="K287" s="3">
        <v>0</v>
      </c>
      <c r="L287" t="s">
        <v>33</v>
      </c>
      <c r="M287" t="s">
        <v>60</v>
      </c>
      <c r="N287" s="1" t="s">
        <v>21</v>
      </c>
      <c r="O287" s="1" t="str">
        <f>IF(OR(TBL_Employees[[#This Row],[Exit Date]],FALSE),"Left employees", "Current employees")</f>
        <v>Current employees</v>
      </c>
    </row>
    <row r="288" spans="1:15" x14ac:dyDescent="0.35">
      <c r="A288" t="s">
        <v>874</v>
      </c>
      <c r="B288" t="s">
        <v>875</v>
      </c>
      <c r="C288" t="s">
        <v>22</v>
      </c>
      <c r="D288" t="s">
        <v>23</v>
      </c>
      <c r="E288" t="s">
        <v>32</v>
      </c>
      <c r="F288" t="s">
        <v>17</v>
      </c>
      <c r="G288" t="s">
        <v>51</v>
      </c>
      <c r="H288">
        <v>31</v>
      </c>
      <c r="I288" s="1">
        <v>44297</v>
      </c>
      <c r="J288" s="2">
        <v>72235</v>
      </c>
      <c r="K288" s="3">
        <v>0</v>
      </c>
      <c r="L288" t="s">
        <v>52</v>
      </c>
      <c r="M288" t="s">
        <v>81</v>
      </c>
      <c r="N288" s="1" t="s">
        <v>21</v>
      </c>
      <c r="O288" s="1" t="str">
        <f>IF(OR(TBL_Employees[[#This Row],[Exit Date]],FALSE),"Left employees", "Current employees")</f>
        <v>Current employees</v>
      </c>
    </row>
    <row r="289" spans="1:15" x14ac:dyDescent="0.35">
      <c r="A289" t="s">
        <v>876</v>
      </c>
      <c r="B289" t="s">
        <v>877</v>
      </c>
      <c r="C289" t="s">
        <v>42</v>
      </c>
      <c r="D289" t="s">
        <v>65</v>
      </c>
      <c r="E289" t="s">
        <v>32</v>
      </c>
      <c r="F289" t="s">
        <v>17</v>
      </c>
      <c r="G289" t="s">
        <v>51</v>
      </c>
      <c r="H289">
        <v>41</v>
      </c>
      <c r="I289" s="1">
        <v>42533</v>
      </c>
      <c r="J289" s="2">
        <v>70165</v>
      </c>
      <c r="K289" s="3">
        <v>0</v>
      </c>
      <c r="L289" t="s">
        <v>19</v>
      </c>
      <c r="M289" t="s">
        <v>29</v>
      </c>
      <c r="N289" s="1" t="s">
        <v>21</v>
      </c>
      <c r="O289" s="1" t="str">
        <f>IF(OR(TBL_Employees[[#This Row],[Exit Date]],FALSE),"Left employees", "Current employees")</f>
        <v>Current employees</v>
      </c>
    </row>
    <row r="290" spans="1:15" x14ac:dyDescent="0.35">
      <c r="A290" t="s">
        <v>878</v>
      </c>
      <c r="B290" t="s">
        <v>879</v>
      </c>
      <c r="C290" t="s">
        <v>61</v>
      </c>
      <c r="D290" t="s">
        <v>43</v>
      </c>
      <c r="E290" t="s">
        <v>44</v>
      </c>
      <c r="F290" t="s">
        <v>28</v>
      </c>
      <c r="G290" t="s">
        <v>18</v>
      </c>
      <c r="H290">
        <v>30</v>
      </c>
      <c r="I290" s="1">
        <v>44030</v>
      </c>
      <c r="J290" s="2">
        <v>148485</v>
      </c>
      <c r="K290" s="3">
        <v>0.15</v>
      </c>
      <c r="L290" t="s">
        <v>19</v>
      </c>
      <c r="M290" t="s">
        <v>45</v>
      </c>
      <c r="N290" s="1" t="s">
        <v>21</v>
      </c>
      <c r="O290" s="1" t="str">
        <f>IF(OR(TBL_Employees[[#This Row],[Exit Date]],FALSE),"Left employees", "Current employees")</f>
        <v>Current employees</v>
      </c>
    </row>
    <row r="291" spans="1:15" x14ac:dyDescent="0.35">
      <c r="A291" t="s">
        <v>880</v>
      </c>
      <c r="B291" t="s">
        <v>881</v>
      </c>
      <c r="C291" t="s">
        <v>55</v>
      </c>
      <c r="D291" t="s">
        <v>27</v>
      </c>
      <c r="E291" t="s">
        <v>36</v>
      </c>
      <c r="F291" t="s">
        <v>17</v>
      </c>
      <c r="G291" t="s">
        <v>24</v>
      </c>
      <c r="H291">
        <v>58</v>
      </c>
      <c r="I291" s="1">
        <v>38521</v>
      </c>
      <c r="J291" s="2">
        <v>86089</v>
      </c>
      <c r="K291" s="3">
        <v>0</v>
      </c>
      <c r="L291" t="s">
        <v>19</v>
      </c>
      <c r="M291" t="s">
        <v>20</v>
      </c>
      <c r="N291" s="1" t="s">
        <v>21</v>
      </c>
      <c r="O291" s="1" t="str">
        <f>IF(OR(TBL_Employees[[#This Row],[Exit Date]],FALSE),"Left employees", "Current employees")</f>
        <v>Current employees</v>
      </c>
    </row>
    <row r="292" spans="1:15" x14ac:dyDescent="0.35">
      <c r="A292" t="s">
        <v>882</v>
      </c>
      <c r="B292" t="s">
        <v>883</v>
      </c>
      <c r="C292" t="s">
        <v>97</v>
      </c>
      <c r="D292" t="s">
        <v>31</v>
      </c>
      <c r="E292" t="s">
        <v>16</v>
      </c>
      <c r="F292" t="s">
        <v>28</v>
      </c>
      <c r="G292" t="s">
        <v>51</v>
      </c>
      <c r="H292">
        <v>54</v>
      </c>
      <c r="I292" s="1">
        <v>39382</v>
      </c>
      <c r="J292" s="2">
        <v>106313</v>
      </c>
      <c r="K292" s="3">
        <v>0.15</v>
      </c>
      <c r="L292" t="s">
        <v>19</v>
      </c>
      <c r="M292" t="s">
        <v>20</v>
      </c>
      <c r="N292" s="1" t="s">
        <v>21</v>
      </c>
      <c r="O292" s="1" t="str">
        <f>IF(OR(TBL_Employees[[#This Row],[Exit Date]],FALSE),"Left employees", "Current employees")</f>
        <v>Current employees</v>
      </c>
    </row>
    <row r="293" spans="1:15" x14ac:dyDescent="0.35">
      <c r="A293" t="s">
        <v>199</v>
      </c>
      <c r="B293" t="s">
        <v>884</v>
      </c>
      <c r="C293" t="s">
        <v>68</v>
      </c>
      <c r="D293" t="s">
        <v>43</v>
      </c>
      <c r="E293" t="s">
        <v>16</v>
      </c>
      <c r="F293" t="s">
        <v>17</v>
      </c>
      <c r="G293" t="s">
        <v>24</v>
      </c>
      <c r="H293">
        <v>40</v>
      </c>
      <c r="I293" s="1">
        <v>44251</v>
      </c>
      <c r="J293" s="2">
        <v>46833</v>
      </c>
      <c r="K293" s="3">
        <v>0</v>
      </c>
      <c r="L293" t="s">
        <v>33</v>
      </c>
      <c r="M293" t="s">
        <v>34</v>
      </c>
      <c r="N293" s="1">
        <v>44510</v>
      </c>
      <c r="O293" s="1" t="str">
        <f>IF(OR(TBL_Employees[[#This Row],[Exit Date]],FALSE),"Left employees", "Current employees")</f>
        <v>Left employees</v>
      </c>
    </row>
    <row r="294" spans="1:15" x14ac:dyDescent="0.35">
      <c r="A294" t="s">
        <v>294</v>
      </c>
      <c r="B294" t="s">
        <v>885</v>
      </c>
      <c r="C294" t="s">
        <v>40</v>
      </c>
      <c r="D294" t="s">
        <v>15</v>
      </c>
      <c r="E294" t="s">
        <v>16</v>
      </c>
      <c r="F294" t="s">
        <v>17</v>
      </c>
      <c r="G294" t="s">
        <v>24</v>
      </c>
      <c r="H294">
        <v>63</v>
      </c>
      <c r="I294" s="1">
        <v>36826</v>
      </c>
      <c r="J294" s="2">
        <v>155320</v>
      </c>
      <c r="K294" s="3">
        <v>0.17</v>
      </c>
      <c r="L294" t="s">
        <v>33</v>
      </c>
      <c r="M294" t="s">
        <v>80</v>
      </c>
      <c r="N294" s="1" t="s">
        <v>21</v>
      </c>
      <c r="O294" s="1" t="str">
        <f>IF(OR(TBL_Employees[[#This Row],[Exit Date]],FALSE),"Left employees", "Current employees")</f>
        <v>Current employees</v>
      </c>
    </row>
    <row r="295" spans="1:15" x14ac:dyDescent="0.35">
      <c r="A295" t="s">
        <v>886</v>
      </c>
      <c r="B295" t="s">
        <v>887</v>
      </c>
      <c r="C295" t="s">
        <v>42</v>
      </c>
      <c r="D295" t="s">
        <v>65</v>
      </c>
      <c r="E295" t="s">
        <v>36</v>
      </c>
      <c r="F295" t="s">
        <v>28</v>
      </c>
      <c r="G295" t="s">
        <v>24</v>
      </c>
      <c r="H295">
        <v>40</v>
      </c>
      <c r="I295" s="1">
        <v>42384</v>
      </c>
      <c r="J295" s="2">
        <v>89984</v>
      </c>
      <c r="K295" s="3">
        <v>0</v>
      </c>
      <c r="L295" t="s">
        <v>33</v>
      </c>
      <c r="M295" t="s">
        <v>34</v>
      </c>
      <c r="N295" s="1" t="s">
        <v>21</v>
      </c>
      <c r="O295" s="1" t="str">
        <f>IF(OR(TBL_Employees[[#This Row],[Exit Date]],FALSE),"Left employees", "Current employees")</f>
        <v>Current employees</v>
      </c>
    </row>
    <row r="296" spans="1:15" x14ac:dyDescent="0.35">
      <c r="A296" t="s">
        <v>888</v>
      </c>
      <c r="B296" t="s">
        <v>889</v>
      </c>
      <c r="C296" t="s">
        <v>97</v>
      </c>
      <c r="D296" t="s">
        <v>31</v>
      </c>
      <c r="E296" t="s">
        <v>44</v>
      </c>
      <c r="F296" t="s">
        <v>17</v>
      </c>
      <c r="G296" t="s">
        <v>24</v>
      </c>
      <c r="H296">
        <v>65</v>
      </c>
      <c r="I296" s="1">
        <v>38792</v>
      </c>
      <c r="J296" s="2">
        <v>83756</v>
      </c>
      <c r="K296" s="3">
        <v>0.14000000000000001</v>
      </c>
      <c r="L296" t="s">
        <v>33</v>
      </c>
      <c r="M296" t="s">
        <v>74</v>
      </c>
      <c r="N296" s="1" t="s">
        <v>21</v>
      </c>
      <c r="O296" s="1" t="str">
        <f>IF(OR(TBL_Employees[[#This Row],[Exit Date]],FALSE),"Left employees", "Current employees")</f>
        <v>Current employees</v>
      </c>
    </row>
    <row r="297" spans="1:15" x14ac:dyDescent="0.35">
      <c r="A297" t="s">
        <v>890</v>
      </c>
      <c r="B297" t="s">
        <v>891</v>
      </c>
      <c r="C297" t="s">
        <v>40</v>
      </c>
      <c r="D297" t="s">
        <v>23</v>
      </c>
      <c r="E297" t="s">
        <v>32</v>
      </c>
      <c r="F297" t="s">
        <v>17</v>
      </c>
      <c r="G297" t="s">
        <v>24</v>
      </c>
      <c r="H297">
        <v>57</v>
      </c>
      <c r="I297" s="1">
        <v>42667</v>
      </c>
      <c r="J297" s="2">
        <v>176324</v>
      </c>
      <c r="K297" s="3">
        <v>0.23</v>
      </c>
      <c r="L297" t="s">
        <v>33</v>
      </c>
      <c r="M297" t="s">
        <v>74</v>
      </c>
      <c r="N297" s="1" t="s">
        <v>21</v>
      </c>
      <c r="O297" s="1" t="str">
        <f>IF(OR(TBL_Employees[[#This Row],[Exit Date]],FALSE),"Left employees", "Current employees")</f>
        <v>Current employees</v>
      </c>
    </row>
    <row r="298" spans="1:15" x14ac:dyDescent="0.35">
      <c r="A298" t="s">
        <v>892</v>
      </c>
      <c r="B298" t="s">
        <v>893</v>
      </c>
      <c r="C298" t="s">
        <v>42</v>
      </c>
      <c r="D298" t="s">
        <v>65</v>
      </c>
      <c r="E298" t="s">
        <v>44</v>
      </c>
      <c r="F298" t="s">
        <v>28</v>
      </c>
      <c r="G298" t="s">
        <v>18</v>
      </c>
      <c r="H298">
        <v>27</v>
      </c>
      <c r="I298" s="1">
        <v>44482</v>
      </c>
      <c r="J298" s="2">
        <v>74077</v>
      </c>
      <c r="K298" s="3">
        <v>0</v>
      </c>
      <c r="L298" t="s">
        <v>19</v>
      </c>
      <c r="M298" t="s">
        <v>63</v>
      </c>
      <c r="N298" s="1" t="s">
        <v>21</v>
      </c>
      <c r="O298" s="1" t="str">
        <f>IF(OR(TBL_Employees[[#This Row],[Exit Date]],FALSE),"Left employees", "Current employees")</f>
        <v>Current employees</v>
      </c>
    </row>
    <row r="299" spans="1:15" x14ac:dyDescent="0.35">
      <c r="A299" t="s">
        <v>894</v>
      </c>
      <c r="B299" t="s">
        <v>895</v>
      </c>
      <c r="C299" t="s">
        <v>62</v>
      </c>
      <c r="D299" t="s">
        <v>23</v>
      </c>
      <c r="E299" t="s">
        <v>36</v>
      </c>
      <c r="F299" t="s">
        <v>17</v>
      </c>
      <c r="G299" t="s">
        <v>18</v>
      </c>
      <c r="H299">
        <v>31</v>
      </c>
      <c r="I299" s="1">
        <v>44214</v>
      </c>
      <c r="J299" s="2">
        <v>104162</v>
      </c>
      <c r="K299" s="3">
        <v>7.0000000000000007E-2</v>
      </c>
      <c r="L299" t="s">
        <v>19</v>
      </c>
      <c r="M299" t="s">
        <v>25</v>
      </c>
      <c r="N299" s="1" t="s">
        <v>21</v>
      </c>
      <c r="O299" s="1" t="str">
        <f>IF(OR(TBL_Employees[[#This Row],[Exit Date]],FALSE),"Left employees", "Current employees")</f>
        <v>Current employees</v>
      </c>
    </row>
    <row r="300" spans="1:15" x14ac:dyDescent="0.35">
      <c r="A300" t="s">
        <v>381</v>
      </c>
      <c r="B300" t="s">
        <v>896</v>
      </c>
      <c r="C300" t="s">
        <v>91</v>
      </c>
      <c r="D300" t="s">
        <v>27</v>
      </c>
      <c r="E300" t="s">
        <v>32</v>
      </c>
      <c r="F300" t="s">
        <v>17</v>
      </c>
      <c r="G300" t="s">
        <v>24</v>
      </c>
      <c r="H300">
        <v>45</v>
      </c>
      <c r="I300" s="1">
        <v>40418</v>
      </c>
      <c r="J300" s="2">
        <v>82162</v>
      </c>
      <c r="K300" s="3">
        <v>0</v>
      </c>
      <c r="L300" t="s">
        <v>33</v>
      </c>
      <c r="M300" t="s">
        <v>60</v>
      </c>
      <c r="N300" s="1">
        <v>44107</v>
      </c>
      <c r="O300" s="1" t="str">
        <f>IF(OR(TBL_Employees[[#This Row],[Exit Date]],FALSE),"Left employees", "Current employees")</f>
        <v>Left employees</v>
      </c>
    </row>
    <row r="301" spans="1:15" x14ac:dyDescent="0.35">
      <c r="A301" t="s">
        <v>370</v>
      </c>
      <c r="B301" t="s">
        <v>897</v>
      </c>
      <c r="C301" t="s">
        <v>94</v>
      </c>
      <c r="D301" t="s">
        <v>50</v>
      </c>
      <c r="E301" t="s">
        <v>44</v>
      </c>
      <c r="F301" t="s">
        <v>17</v>
      </c>
      <c r="G301" t="s">
        <v>24</v>
      </c>
      <c r="H301">
        <v>47</v>
      </c>
      <c r="I301" s="1">
        <v>42195</v>
      </c>
      <c r="J301" s="2">
        <v>63880</v>
      </c>
      <c r="K301" s="3">
        <v>0</v>
      </c>
      <c r="L301" t="s">
        <v>33</v>
      </c>
      <c r="M301" t="s">
        <v>80</v>
      </c>
      <c r="N301" s="1" t="s">
        <v>21</v>
      </c>
      <c r="O301" s="1" t="str">
        <f>IF(OR(TBL_Employees[[#This Row],[Exit Date]],FALSE),"Left employees", "Current employees")</f>
        <v>Current employees</v>
      </c>
    </row>
    <row r="302" spans="1:15" x14ac:dyDescent="0.35">
      <c r="A302" t="s">
        <v>387</v>
      </c>
      <c r="B302" t="s">
        <v>378</v>
      </c>
      <c r="C302" t="s">
        <v>58</v>
      </c>
      <c r="D302" t="s">
        <v>31</v>
      </c>
      <c r="E302" t="s">
        <v>16</v>
      </c>
      <c r="F302" t="s">
        <v>17</v>
      </c>
      <c r="G302" t="s">
        <v>24</v>
      </c>
      <c r="H302">
        <v>55</v>
      </c>
      <c r="I302" s="1">
        <v>41525</v>
      </c>
      <c r="J302" s="2">
        <v>73248</v>
      </c>
      <c r="K302" s="3">
        <v>0</v>
      </c>
      <c r="L302" t="s">
        <v>19</v>
      </c>
      <c r="M302" t="s">
        <v>29</v>
      </c>
      <c r="N302" s="1" t="s">
        <v>21</v>
      </c>
      <c r="O302" s="1" t="str">
        <f>IF(OR(TBL_Employees[[#This Row],[Exit Date]],FALSE),"Left employees", "Current employees")</f>
        <v>Current employees</v>
      </c>
    </row>
    <row r="303" spans="1:15" x14ac:dyDescent="0.35">
      <c r="A303" t="s">
        <v>898</v>
      </c>
      <c r="B303" t="s">
        <v>899</v>
      </c>
      <c r="C303" t="s">
        <v>42</v>
      </c>
      <c r="D303" t="s">
        <v>65</v>
      </c>
      <c r="E303" t="s">
        <v>36</v>
      </c>
      <c r="F303" t="s">
        <v>28</v>
      </c>
      <c r="G303" t="s">
        <v>47</v>
      </c>
      <c r="H303">
        <v>51</v>
      </c>
      <c r="I303" s="1">
        <v>44113</v>
      </c>
      <c r="J303" s="2">
        <v>91853</v>
      </c>
      <c r="K303" s="3">
        <v>0</v>
      </c>
      <c r="L303" t="s">
        <v>19</v>
      </c>
      <c r="M303" t="s">
        <v>20</v>
      </c>
      <c r="N303" s="1" t="s">
        <v>21</v>
      </c>
      <c r="O303" s="1" t="str">
        <f>IF(OR(TBL_Employees[[#This Row],[Exit Date]],FALSE),"Left employees", "Current employees")</f>
        <v>Current employees</v>
      </c>
    </row>
    <row r="304" spans="1:15" x14ac:dyDescent="0.35">
      <c r="A304" t="s">
        <v>900</v>
      </c>
      <c r="B304" t="s">
        <v>901</v>
      </c>
      <c r="C304" t="s">
        <v>40</v>
      </c>
      <c r="D304" t="s">
        <v>15</v>
      </c>
      <c r="E304" t="s">
        <v>44</v>
      </c>
      <c r="F304" t="s">
        <v>28</v>
      </c>
      <c r="G304" t="s">
        <v>18</v>
      </c>
      <c r="H304">
        <v>25</v>
      </c>
      <c r="I304" s="1">
        <v>43844</v>
      </c>
      <c r="J304" s="2">
        <v>168014</v>
      </c>
      <c r="K304" s="3">
        <v>0.27</v>
      </c>
      <c r="L304" t="s">
        <v>19</v>
      </c>
      <c r="M304" t="s">
        <v>20</v>
      </c>
      <c r="N304" s="1">
        <v>44404</v>
      </c>
      <c r="O304" s="1" t="str">
        <f>IF(OR(TBL_Employees[[#This Row],[Exit Date]],FALSE),"Left employees", "Current employees")</f>
        <v>Left employees</v>
      </c>
    </row>
    <row r="305" spans="1:15" x14ac:dyDescent="0.35">
      <c r="A305" t="s">
        <v>305</v>
      </c>
      <c r="B305" t="s">
        <v>902</v>
      </c>
      <c r="C305" t="s">
        <v>86</v>
      </c>
      <c r="D305" t="s">
        <v>31</v>
      </c>
      <c r="E305" t="s">
        <v>32</v>
      </c>
      <c r="F305" t="s">
        <v>17</v>
      </c>
      <c r="G305" t="s">
        <v>18</v>
      </c>
      <c r="H305">
        <v>37</v>
      </c>
      <c r="I305" s="1">
        <v>42995</v>
      </c>
      <c r="J305" s="2">
        <v>70770</v>
      </c>
      <c r="K305" s="3">
        <v>0</v>
      </c>
      <c r="L305" t="s">
        <v>19</v>
      </c>
      <c r="M305" t="s">
        <v>45</v>
      </c>
      <c r="N305" s="1" t="s">
        <v>21</v>
      </c>
      <c r="O305" s="1" t="str">
        <f>IF(OR(TBL_Employees[[#This Row],[Exit Date]],FALSE),"Left employees", "Current employees")</f>
        <v>Current employees</v>
      </c>
    </row>
    <row r="306" spans="1:15" x14ac:dyDescent="0.35">
      <c r="A306" t="s">
        <v>316</v>
      </c>
      <c r="B306" t="s">
        <v>903</v>
      </c>
      <c r="C306" t="s">
        <v>22</v>
      </c>
      <c r="D306" t="s">
        <v>23</v>
      </c>
      <c r="E306" t="s">
        <v>32</v>
      </c>
      <c r="F306" t="s">
        <v>28</v>
      </c>
      <c r="G306" t="s">
        <v>18</v>
      </c>
      <c r="H306">
        <v>62</v>
      </c>
      <c r="I306" s="1">
        <v>38271</v>
      </c>
      <c r="J306" s="2">
        <v>50825</v>
      </c>
      <c r="K306" s="3">
        <v>0</v>
      </c>
      <c r="L306" t="s">
        <v>19</v>
      </c>
      <c r="M306" t="s">
        <v>63</v>
      </c>
      <c r="N306" s="1" t="s">
        <v>21</v>
      </c>
      <c r="O306" s="1" t="str">
        <f>IF(OR(TBL_Employees[[#This Row],[Exit Date]],FALSE),"Left employees", "Current employees")</f>
        <v>Current employees</v>
      </c>
    </row>
    <row r="307" spans="1:15" x14ac:dyDescent="0.35">
      <c r="A307" t="s">
        <v>904</v>
      </c>
      <c r="B307" t="s">
        <v>905</v>
      </c>
      <c r="C307" t="s">
        <v>61</v>
      </c>
      <c r="D307" t="s">
        <v>15</v>
      </c>
      <c r="E307" t="s">
        <v>16</v>
      </c>
      <c r="F307" t="s">
        <v>28</v>
      </c>
      <c r="G307" t="s">
        <v>51</v>
      </c>
      <c r="H307">
        <v>31</v>
      </c>
      <c r="I307" s="1">
        <v>42266</v>
      </c>
      <c r="J307" s="2">
        <v>145846</v>
      </c>
      <c r="K307" s="3">
        <v>0.15</v>
      </c>
      <c r="L307" t="s">
        <v>52</v>
      </c>
      <c r="M307" t="s">
        <v>81</v>
      </c>
      <c r="N307" s="1" t="s">
        <v>21</v>
      </c>
      <c r="O307" s="1" t="str">
        <f>IF(OR(TBL_Employees[[#This Row],[Exit Date]],FALSE),"Left employees", "Current employees")</f>
        <v>Current employees</v>
      </c>
    </row>
    <row r="308" spans="1:15" x14ac:dyDescent="0.35">
      <c r="A308" t="s">
        <v>274</v>
      </c>
      <c r="B308" t="s">
        <v>906</v>
      </c>
      <c r="C308" t="s">
        <v>61</v>
      </c>
      <c r="D308" t="s">
        <v>23</v>
      </c>
      <c r="E308" t="s">
        <v>16</v>
      </c>
      <c r="F308" t="s">
        <v>17</v>
      </c>
      <c r="G308" t="s">
        <v>24</v>
      </c>
      <c r="H308">
        <v>64</v>
      </c>
      <c r="I308" s="1">
        <v>37962</v>
      </c>
      <c r="J308" s="2">
        <v>125807</v>
      </c>
      <c r="K308" s="3">
        <v>0.15</v>
      </c>
      <c r="L308" t="s">
        <v>19</v>
      </c>
      <c r="M308" t="s">
        <v>20</v>
      </c>
      <c r="N308" s="1" t="s">
        <v>21</v>
      </c>
      <c r="O308" s="1" t="str">
        <f>IF(OR(TBL_Employees[[#This Row],[Exit Date]],FALSE),"Left employees", "Current employees")</f>
        <v>Current employees</v>
      </c>
    </row>
    <row r="309" spans="1:15" x14ac:dyDescent="0.35">
      <c r="A309" t="s">
        <v>179</v>
      </c>
      <c r="B309" t="s">
        <v>907</v>
      </c>
      <c r="C309" t="s">
        <v>68</v>
      </c>
      <c r="D309" t="s">
        <v>50</v>
      </c>
      <c r="E309" t="s">
        <v>44</v>
      </c>
      <c r="F309" t="s">
        <v>28</v>
      </c>
      <c r="G309" t="s">
        <v>24</v>
      </c>
      <c r="H309">
        <v>25</v>
      </c>
      <c r="I309" s="1">
        <v>44405</v>
      </c>
      <c r="J309" s="2">
        <v>46845</v>
      </c>
      <c r="K309" s="3">
        <v>0</v>
      </c>
      <c r="L309" t="s">
        <v>19</v>
      </c>
      <c r="M309" t="s">
        <v>45</v>
      </c>
      <c r="N309" s="1" t="s">
        <v>21</v>
      </c>
      <c r="O309" s="1" t="str">
        <f>IF(OR(TBL_Employees[[#This Row],[Exit Date]],FALSE),"Left employees", "Current employees")</f>
        <v>Current employees</v>
      </c>
    </row>
    <row r="310" spans="1:15" x14ac:dyDescent="0.35">
      <c r="A310" t="s">
        <v>908</v>
      </c>
      <c r="B310" t="s">
        <v>909</v>
      </c>
      <c r="C310" t="s">
        <v>61</v>
      </c>
      <c r="D310" t="s">
        <v>43</v>
      </c>
      <c r="E310" t="s">
        <v>32</v>
      </c>
      <c r="F310" t="s">
        <v>17</v>
      </c>
      <c r="G310" t="s">
        <v>24</v>
      </c>
      <c r="H310">
        <v>59</v>
      </c>
      <c r="I310" s="1">
        <v>39689</v>
      </c>
      <c r="J310" s="2">
        <v>157969</v>
      </c>
      <c r="K310" s="3">
        <v>0.1</v>
      </c>
      <c r="L310" t="s">
        <v>33</v>
      </c>
      <c r="M310" t="s">
        <v>80</v>
      </c>
      <c r="N310" s="1" t="s">
        <v>21</v>
      </c>
      <c r="O310" s="1" t="str">
        <f>IF(OR(TBL_Employees[[#This Row],[Exit Date]],FALSE),"Left employees", "Current employees")</f>
        <v>Current employees</v>
      </c>
    </row>
    <row r="311" spans="1:15" x14ac:dyDescent="0.35">
      <c r="A311" t="s">
        <v>910</v>
      </c>
      <c r="B311" t="s">
        <v>911</v>
      </c>
      <c r="C311" t="s">
        <v>88</v>
      </c>
      <c r="D311" t="s">
        <v>27</v>
      </c>
      <c r="E311" t="s">
        <v>32</v>
      </c>
      <c r="F311" t="s">
        <v>17</v>
      </c>
      <c r="G311" t="s">
        <v>18</v>
      </c>
      <c r="H311">
        <v>40</v>
      </c>
      <c r="I311" s="1">
        <v>40522</v>
      </c>
      <c r="J311" s="2">
        <v>97807</v>
      </c>
      <c r="K311" s="3">
        <v>0</v>
      </c>
      <c r="L311" t="s">
        <v>19</v>
      </c>
      <c r="M311" t="s">
        <v>20</v>
      </c>
      <c r="N311" s="1" t="s">
        <v>21</v>
      </c>
      <c r="O311" s="1" t="str">
        <f>IF(OR(TBL_Employees[[#This Row],[Exit Date]],FALSE),"Left employees", "Current employees")</f>
        <v>Current employees</v>
      </c>
    </row>
    <row r="312" spans="1:15" x14ac:dyDescent="0.35">
      <c r="A312" t="s">
        <v>79</v>
      </c>
      <c r="B312" t="s">
        <v>912</v>
      </c>
      <c r="C312" t="s">
        <v>22</v>
      </c>
      <c r="D312" t="s">
        <v>23</v>
      </c>
      <c r="E312" t="s">
        <v>36</v>
      </c>
      <c r="F312" t="s">
        <v>28</v>
      </c>
      <c r="G312" t="s">
        <v>51</v>
      </c>
      <c r="H312">
        <v>31</v>
      </c>
      <c r="I312" s="1">
        <v>42347</v>
      </c>
      <c r="J312" s="2">
        <v>73854</v>
      </c>
      <c r="K312" s="3">
        <v>0</v>
      </c>
      <c r="L312" t="s">
        <v>19</v>
      </c>
      <c r="M312" t="s">
        <v>63</v>
      </c>
      <c r="N312" s="1" t="s">
        <v>21</v>
      </c>
      <c r="O312" s="1" t="str">
        <f>IF(OR(TBL_Employees[[#This Row],[Exit Date]],FALSE),"Left employees", "Current employees")</f>
        <v>Current employees</v>
      </c>
    </row>
    <row r="313" spans="1:15" x14ac:dyDescent="0.35">
      <c r="A313" t="s">
        <v>913</v>
      </c>
      <c r="B313" t="s">
        <v>914</v>
      </c>
      <c r="C313" t="s">
        <v>61</v>
      </c>
      <c r="D313" t="s">
        <v>65</v>
      </c>
      <c r="E313" t="s">
        <v>36</v>
      </c>
      <c r="F313" t="s">
        <v>28</v>
      </c>
      <c r="G313" t="s">
        <v>24</v>
      </c>
      <c r="H313">
        <v>45</v>
      </c>
      <c r="I313" s="1">
        <v>39063</v>
      </c>
      <c r="J313" s="2">
        <v>149537</v>
      </c>
      <c r="K313" s="3">
        <v>0.14000000000000001</v>
      </c>
      <c r="L313" t="s">
        <v>19</v>
      </c>
      <c r="M313" t="s">
        <v>63</v>
      </c>
      <c r="N313" s="1" t="s">
        <v>21</v>
      </c>
      <c r="O313" s="1" t="str">
        <f>IF(OR(TBL_Employees[[#This Row],[Exit Date]],FALSE),"Left employees", "Current employees")</f>
        <v>Current employees</v>
      </c>
    </row>
    <row r="314" spans="1:15" x14ac:dyDescent="0.35">
      <c r="A314" t="s">
        <v>915</v>
      </c>
      <c r="B314" t="s">
        <v>916</v>
      </c>
      <c r="C314" t="s">
        <v>61</v>
      </c>
      <c r="D314" t="s">
        <v>50</v>
      </c>
      <c r="E314" t="s">
        <v>36</v>
      </c>
      <c r="F314" t="s">
        <v>17</v>
      </c>
      <c r="G314" t="s">
        <v>18</v>
      </c>
      <c r="H314">
        <v>49</v>
      </c>
      <c r="I314" s="1">
        <v>41379</v>
      </c>
      <c r="J314" s="2">
        <v>128303</v>
      </c>
      <c r="K314" s="3">
        <v>0.15</v>
      </c>
      <c r="L314" t="s">
        <v>19</v>
      </c>
      <c r="M314" t="s">
        <v>39</v>
      </c>
      <c r="N314" s="1" t="s">
        <v>21</v>
      </c>
      <c r="O314" s="1" t="str">
        <f>IF(OR(TBL_Employees[[#This Row],[Exit Date]],FALSE),"Left employees", "Current employees")</f>
        <v>Current employees</v>
      </c>
    </row>
    <row r="315" spans="1:15" x14ac:dyDescent="0.35">
      <c r="A315" t="s">
        <v>216</v>
      </c>
      <c r="B315" t="s">
        <v>917</v>
      </c>
      <c r="C315" t="s">
        <v>71</v>
      </c>
      <c r="D315" t="s">
        <v>27</v>
      </c>
      <c r="E315" t="s">
        <v>44</v>
      </c>
      <c r="F315" t="s">
        <v>28</v>
      </c>
      <c r="G315" t="s">
        <v>47</v>
      </c>
      <c r="H315">
        <v>46</v>
      </c>
      <c r="I315" s="1">
        <v>38513</v>
      </c>
      <c r="J315" s="2">
        <v>67374</v>
      </c>
      <c r="K315" s="3">
        <v>0</v>
      </c>
      <c r="L315" t="s">
        <v>19</v>
      </c>
      <c r="M315" t="s">
        <v>25</v>
      </c>
      <c r="N315" s="1" t="s">
        <v>21</v>
      </c>
      <c r="O315" s="1" t="str">
        <f>IF(OR(TBL_Employees[[#This Row],[Exit Date]],FALSE),"Left employees", "Current employees")</f>
        <v>Current employees</v>
      </c>
    </row>
    <row r="316" spans="1:15" x14ac:dyDescent="0.35">
      <c r="A316" t="s">
        <v>85</v>
      </c>
      <c r="B316" t="s">
        <v>918</v>
      </c>
      <c r="C316" t="s">
        <v>62</v>
      </c>
      <c r="D316" t="s">
        <v>23</v>
      </c>
      <c r="E316" t="s">
        <v>32</v>
      </c>
      <c r="F316" t="s">
        <v>28</v>
      </c>
      <c r="G316" t="s">
        <v>51</v>
      </c>
      <c r="H316">
        <v>46</v>
      </c>
      <c r="I316" s="1">
        <v>40810</v>
      </c>
      <c r="J316" s="2">
        <v>102167</v>
      </c>
      <c r="K316" s="3">
        <v>0.06</v>
      </c>
      <c r="L316" t="s">
        <v>52</v>
      </c>
      <c r="M316" t="s">
        <v>66</v>
      </c>
      <c r="N316" s="1" t="s">
        <v>21</v>
      </c>
      <c r="O316" s="1" t="str">
        <f>IF(OR(TBL_Employees[[#This Row],[Exit Date]],FALSE),"Left employees", "Current employees")</f>
        <v>Current employees</v>
      </c>
    </row>
    <row r="317" spans="1:15" x14ac:dyDescent="0.35">
      <c r="A317" t="s">
        <v>124</v>
      </c>
      <c r="B317" t="s">
        <v>919</v>
      </c>
      <c r="C317" t="s">
        <v>61</v>
      </c>
      <c r="D317" t="s">
        <v>50</v>
      </c>
      <c r="E317" t="s">
        <v>36</v>
      </c>
      <c r="F317" t="s">
        <v>28</v>
      </c>
      <c r="G317" t="s">
        <v>24</v>
      </c>
      <c r="H317">
        <v>45</v>
      </c>
      <c r="I317" s="1">
        <v>39332</v>
      </c>
      <c r="J317" s="2">
        <v>151027</v>
      </c>
      <c r="K317" s="3">
        <v>0.1</v>
      </c>
      <c r="L317" t="s">
        <v>33</v>
      </c>
      <c r="M317" t="s">
        <v>74</v>
      </c>
      <c r="N317" s="1" t="s">
        <v>21</v>
      </c>
      <c r="O317" s="1" t="str">
        <f>IF(OR(TBL_Employees[[#This Row],[Exit Date]],FALSE),"Left employees", "Current employees")</f>
        <v>Current employees</v>
      </c>
    </row>
    <row r="318" spans="1:15" x14ac:dyDescent="0.35">
      <c r="A318" t="s">
        <v>920</v>
      </c>
      <c r="B318" t="s">
        <v>921</v>
      </c>
      <c r="C318" t="s">
        <v>62</v>
      </c>
      <c r="D318" t="s">
        <v>65</v>
      </c>
      <c r="E318" t="s">
        <v>44</v>
      </c>
      <c r="F318" t="s">
        <v>28</v>
      </c>
      <c r="G318" t="s">
        <v>24</v>
      </c>
      <c r="H318">
        <v>40</v>
      </c>
      <c r="I318" s="1">
        <v>43147</v>
      </c>
      <c r="J318" s="2">
        <v>120905</v>
      </c>
      <c r="K318" s="3">
        <v>0.05</v>
      </c>
      <c r="L318" t="s">
        <v>19</v>
      </c>
      <c r="M318" t="s">
        <v>63</v>
      </c>
      <c r="N318" s="1" t="s">
        <v>21</v>
      </c>
      <c r="O318" s="1" t="str">
        <f>IF(OR(TBL_Employees[[#This Row],[Exit Date]],FALSE),"Left employees", "Current employees")</f>
        <v>Current employees</v>
      </c>
    </row>
    <row r="319" spans="1:15" x14ac:dyDescent="0.35">
      <c r="A319" t="s">
        <v>922</v>
      </c>
      <c r="B319" t="s">
        <v>923</v>
      </c>
      <c r="C319" t="s">
        <v>14</v>
      </c>
      <c r="D319" t="s">
        <v>15</v>
      </c>
      <c r="E319" t="s">
        <v>36</v>
      </c>
      <c r="F319" t="s">
        <v>17</v>
      </c>
      <c r="G319" t="s">
        <v>18</v>
      </c>
      <c r="H319">
        <v>48</v>
      </c>
      <c r="I319" s="1">
        <v>43253</v>
      </c>
      <c r="J319" s="2">
        <v>231567</v>
      </c>
      <c r="K319" s="3">
        <v>0.36</v>
      </c>
      <c r="L319" t="s">
        <v>19</v>
      </c>
      <c r="M319" t="s">
        <v>63</v>
      </c>
      <c r="N319" s="1" t="s">
        <v>21</v>
      </c>
      <c r="O319" s="1" t="str">
        <f>IF(OR(TBL_Employees[[#This Row],[Exit Date]],FALSE),"Left employees", "Current employees")</f>
        <v>Current employees</v>
      </c>
    </row>
    <row r="320" spans="1:15" x14ac:dyDescent="0.35">
      <c r="A320" t="s">
        <v>683</v>
      </c>
      <c r="B320" t="s">
        <v>924</v>
      </c>
      <c r="C320" t="s">
        <v>14</v>
      </c>
      <c r="D320" t="s">
        <v>27</v>
      </c>
      <c r="E320" t="s">
        <v>16</v>
      </c>
      <c r="F320" t="s">
        <v>28</v>
      </c>
      <c r="G320" t="s">
        <v>24</v>
      </c>
      <c r="H320">
        <v>31</v>
      </c>
      <c r="I320" s="1">
        <v>42197</v>
      </c>
      <c r="J320" s="2">
        <v>215388</v>
      </c>
      <c r="K320" s="3">
        <v>0.33</v>
      </c>
      <c r="L320" t="s">
        <v>19</v>
      </c>
      <c r="M320" t="s">
        <v>45</v>
      </c>
      <c r="N320" s="1" t="s">
        <v>21</v>
      </c>
      <c r="O320" s="1" t="str">
        <f>IF(OR(TBL_Employees[[#This Row],[Exit Date]],FALSE),"Left employees", "Current employees")</f>
        <v>Current employees</v>
      </c>
    </row>
    <row r="321" spans="1:15" x14ac:dyDescent="0.35">
      <c r="A321" t="s">
        <v>368</v>
      </c>
      <c r="B321" t="s">
        <v>925</v>
      </c>
      <c r="C321" t="s">
        <v>61</v>
      </c>
      <c r="D321" t="s">
        <v>50</v>
      </c>
      <c r="E321" t="s">
        <v>44</v>
      </c>
      <c r="F321" t="s">
        <v>17</v>
      </c>
      <c r="G321" t="s">
        <v>24</v>
      </c>
      <c r="H321">
        <v>30</v>
      </c>
      <c r="I321" s="1">
        <v>42168</v>
      </c>
      <c r="J321" s="2">
        <v>127972</v>
      </c>
      <c r="K321" s="3">
        <v>0.11</v>
      </c>
      <c r="L321" t="s">
        <v>19</v>
      </c>
      <c r="M321" t="s">
        <v>63</v>
      </c>
      <c r="N321" s="1" t="s">
        <v>21</v>
      </c>
      <c r="O321" s="1" t="str">
        <f>IF(OR(TBL_Employees[[#This Row],[Exit Date]],FALSE),"Left employees", "Current employees")</f>
        <v>Current employees</v>
      </c>
    </row>
    <row r="322" spans="1:15" x14ac:dyDescent="0.35">
      <c r="A322" t="s">
        <v>926</v>
      </c>
      <c r="B322" t="s">
        <v>927</v>
      </c>
      <c r="C322" t="s">
        <v>69</v>
      </c>
      <c r="D322" t="s">
        <v>31</v>
      </c>
      <c r="E322" t="s">
        <v>32</v>
      </c>
      <c r="F322" t="s">
        <v>17</v>
      </c>
      <c r="G322" t="s">
        <v>24</v>
      </c>
      <c r="H322">
        <v>55</v>
      </c>
      <c r="I322" s="1">
        <v>34915</v>
      </c>
      <c r="J322" s="2">
        <v>80701</v>
      </c>
      <c r="K322" s="3">
        <v>0</v>
      </c>
      <c r="L322" t="s">
        <v>19</v>
      </c>
      <c r="M322" t="s">
        <v>20</v>
      </c>
      <c r="N322" s="1">
        <v>38456</v>
      </c>
      <c r="O322" s="1" t="str">
        <f>IF(OR(TBL_Employees[[#This Row],[Exit Date]],FALSE),"Left employees", "Current employees")</f>
        <v>Left employees</v>
      </c>
    </row>
    <row r="323" spans="1:15" x14ac:dyDescent="0.35">
      <c r="A323" t="s">
        <v>320</v>
      </c>
      <c r="B323" t="s">
        <v>928</v>
      </c>
      <c r="C323" t="s">
        <v>62</v>
      </c>
      <c r="D323" t="s">
        <v>43</v>
      </c>
      <c r="E323" t="s">
        <v>32</v>
      </c>
      <c r="F323" t="s">
        <v>28</v>
      </c>
      <c r="G323" t="s">
        <v>24</v>
      </c>
      <c r="H323">
        <v>28</v>
      </c>
      <c r="I323" s="1">
        <v>43863</v>
      </c>
      <c r="J323" s="2">
        <v>115417</v>
      </c>
      <c r="K323" s="3">
        <v>0.06</v>
      </c>
      <c r="L323" t="s">
        <v>33</v>
      </c>
      <c r="M323" t="s">
        <v>74</v>
      </c>
      <c r="N323" s="1" t="s">
        <v>21</v>
      </c>
      <c r="O323" s="1" t="str">
        <f>IF(OR(TBL_Employees[[#This Row],[Exit Date]],FALSE),"Left employees", "Current employees")</f>
        <v>Current employees</v>
      </c>
    </row>
    <row r="324" spans="1:15" x14ac:dyDescent="0.35">
      <c r="A324" t="s">
        <v>629</v>
      </c>
      <c r="B324" t="s">
        <v>929</v>
      </c>
      <c r="C324" t="s">
        <v>30</v>
      </c>
      <c r="D324" t="s">
        <v>31</v>
      </c>
      <c r="E324" t="s">
        <v>32</v>
      </c>
      <c r="F324" t="s">
        <v>17</v>
      </c>
      <c r="G324" t="s">
        <v>18</v>
      </c>
      <c r="H324">
        <v>45</v>
      </c>
      <c r="I324" s="1">
        <v>43635</v>
      </c>
      <c r="J324" s="2">
        <v>88045</v>
      </c>
      <c r="K324" s="3">
        <v>0</v>
      </c>
      <c r="L324" t="s">
        <v>19</v>
      </c>
      <c r="M324" t="s">
        <v>20</v>
      </c>
      <c r="N324" s="1" t="s">
        <v>21</v>
      </c>
      <c r="O324" s="1" t="str">
        <f>IF(OR(TBL_Employees[[#This Row],[Exit Date]],FALSE),"Left employees", "Current employees")</f>
        <v>Current employees</v>
      </c>
    </row>
    <row r="325" spans="1:15" x14ac:dyDescent="0.35">
      <c r="A325" t="s">
        <v>75</v>
      </c>
      <c r="B325" t="s">
        <v>930</v>
      </c>
      <c r="C325" t="s">
        <v>56</v>
      </c>
      <c r="D325" t="s">
        <v>27</v>
      </c>
      <c r="E325" t="s">
        <v>44</v>
      </c>
      <c r="F325" t="s">
        <v>17</v>
      </c>
      <c r="G325" t="s">
        <v>47</v>
      </c>
      <c r="H325">
        <v>45</v>
      </c>
      <c r="I325" s="1">
        <v>43185</v>
      </c>
      <c r="J325" s="2">
        <v>86478</v>
      </c>
      <c r="K325" s="3">
        <v>0.06</v>
      </c>
      <c r="L325" t="s">
        <v>19</v>
      </c>
      <c r="M325" t="s">
        <v>25</v>
      </c>
      <c r="N325" s="1" t="s">
        <v>21</v>
      </c>
      <c r="O325" s="1" t="str">
        <f>IF(OR(TBL_Employees[[#This Row],[Exit Date]],FALSE),"Left employees", "Current employees")</f>
        <v>Current employees</v>
      </c>
    </row>
    <row r="326" spans="1:15" x14ac:dyDescent="0.35">
      <c r="A326" t="s">
        <v>931</v>
      </c>
      <c r="B326" t="s">
        <v>932</v>
      </c>
      <c r="C326" t="s">
        <v>14</v>
      </c>
      <c r="D326" t="s">
        <v>31</v>
      </c>
      <c r="E326" t="s">
        <v>36</v>
      </c>
      <c r="F326" t="s">
        <v>28</v>
      </c>
      <c r="G326" t="s">
        <v>18</v>
      </c>
      <c r="H326">
        <v>63</v>
      </c>
      <c r="I326" s="1">
        <v>42387</v>
      </c>
      <c r="J326" s="2">
        <v>180994</v>
      </c>
      <c r="K326" s="3">
        <v>0.39</v>
      </c>
      <c r="L326" t="s">
        <v>19</v>
      </c>
      <c r="M326" t="s">
        <v>63</v>
      </c>
      <c r="N326" s="1" t="s">
        <v>21</v>
      </c>
      <c r="O326" s="1" t="str">
        <f>IF(OR(TBL_Employees[[#This Row],[Exit Date]],FALSE),"Left employees", "Current employees")</f>
        <v>Current employees</v>
      </c>
    </row>
    <row r="327" spans="1:15" x14ac:dyDescent="0.35">
      <c r="A327" t="s">
        <v>933</v>
      </c>
      <c r="B327" t="s">
        <v>934</v>
      </c>
      <c r="C327" t="s">
        <v>64</v>
      </c>
      <c r="D327" t="s">
        <v>15</v>
      </c>
      <c r="E327" t="s">
        <v>16</v>
      </c>
      <c r="F327" t="s">
        <v>17</v>
      </c>
      <c r="G327" t="s">
        <v>24</v>
      </c>
      <c r="H327">
        <v>55</v>
      </c>
      <c r="I327" s="1">
        <v>39418</v>
      </c>
      <c r="J327" s="2">
        <v>64494</v>
      </c>
      <c r="K327" s="3">
        <v>0</v>
      </c>
      <c r="L327" t="s">
        <v>19</v>
      </c>
      <c r="M327" t="s">
        <v>29</v>
      </c>
      <c r="N327" s="1" t="s">
        <v>21</v>
      </c>
      <c r="O327" s="1" t="str">
        <f>IF(OR(TBL_Employees[[#This Row],[Exit Date]],FALSE),"Left employees", "Current employees")</f>
        <v>Current employees</v>
      </c>
    </row>
    <row r="328" spans="1:15" x14ac:dyDescent="0.35">
      <c r="A328" t="s">
        <v>252</v>
      </c>
      <c r="B328" t="s">
        <v>935</v>
      </c>
      <c r="C328" t="s">
        <v>94</v>
      </c>
      <c r="D328" t="s">
        <v>50</v>
      </c>
      <c r="E328" t="s">
        <v>36</v>
      </c>
      <c r="F328" t="s">
        <v>28</v>
      </c>
      <c r="G328" t="s">
        <v>47</v>
      </c>
      <c r="H328">
        <v>47</v>
      </c>
      <c r="I328" s="1">
        <v>37550</v>
      </c>
      <c r="J328" s="2">
        <v>70122</v>
      </c>
      <c r="K328" s="3">
        <v>0</v>
      </c>
      <c r="L328" t="s">
        <v>19</v>
      </c>
      <c r="M328" t="s">
        <v>29</v>
      </c>
      <c r="N328" s="1" t="s">
        <v>21</v>
      </c>
      <c r="O328" s="1" t="str">
        <f>IF(OR(TBL_Employees[[#This Row],[Exit Date]],FALSE),"Left employees", "Current employees")</f>
        <v>Current employees</v>
      </c>
    </row>
    <row r="329" spans="1:15" x14ac:dyDescent="0.35">
      <c r="A329" t="s">
        <v>301</v>
      </c>
      <c r="B329" t="s">
        <v>936</v>
      </c>
      <c r="C329" t="s">
        <v>40</v>
      </c>
      <c r="D329" t="s">
        <v>65</v>
      </c>
      <c r="E329" t="s">
        <v>36</v>
      </c>
      <c r="F329" t="s">
        <v>28</v>
      </c>
      <c r="G329" t="s">
        <v>18</v>
      </c>
      <c r="H329">
        <v>29</v>
      </c>
      <c r="I329" s="1">
        <v>42785</v>
      </c>
      <c r="J329" s="2">
        <v>181854</v>
      </c>
      <c r="K329" s="3">
        <v>0.28999999999999998</v>
      </c>
      <c r="L329" t="s">
        <v>19</v>
      </c>
      <c r="M329" t="s">
        <v>63</v>
      </c>
      <c r="N329" s="1">
        <v>43945</v>
      </c>
      <c r="O329" s="1" t="str">
        <f>IF(OR(TBL_Employees[[#This Row],[Exit Date]],FALSE),"Left employees", "Current employees")</f>
        <v>Left employees</v>
      </c>
    </row>
    <row r="330" spans="1:15" x14ac:dyDescent="0.35">
      <c r="A330" t="s">
        <v>937</v>
      </c>
      <c r="B330" t="s">
        <v>938</v>
      </c>
      <c r="C330" t="s">
        <v>83</v>
      </c>
      <c r="D330" t="s">
        <v>23</v>
      </c>
      <c r="E330" t="s">
        <v>44</v>
      </c>
      <c r="F330" t="s">
        <v>17</v>
      </c>
      <c r="G330" t="s">
        <v>51</v>
      </c>
      <c r="H330">
        <v>34</v>
      </c>
      <c r="I330" s="1">
        <v>42664</v>
      </c>
      <c r="J330" s="2">
        <v>52811</v>
      </c>
      <c r="K330" s="3">
        <v>0</v>
      </c>
      <c r="L330" t="s">
        <v>19</v>
      </c>
      <c r="M330" t="s">
        <v>45</v>
      </c>
      <c r="N330" s="1" t="s">
        <v>21</v>
      </c>
      <c r="O330" s="1" t="str">
        <f>IF(OR(TBL_Employees[[#This Row],[Exit Date]],FALSE),"Left employees", "Current employees")</f>
        <v>Current employees</v>
      </c>
    </row>
    <row r="331" spans="1:15" x14ac:dyDescent="0.35">
      <c r="A331" t="s">
        <v>939</v>
      </c>
      <c r="B331" t="s">
        <v>940</v>
      </c>
      <c r="C331" t="s">
        <v>76</v>
      </c>
      <c r="D331" t="s">
        <v>27</v>
      </c>
      <c r="E331" t="s">
        <v>16</v>
      </c>
      <c r="F331" t="s">
        <v>17</v>
      </c>
      <c r="G331" t="s">
        <v>24</v>
      </c>
      <c r="H331">
        <v>28</v>
      </c>
      <c r="I331" s="1">
        <v>43763</v>
      </c>
      <c r="J331" s="2">
        <v>50111</v>
      </c>
      <c r="K331" s="3">
        <v>0</v>
      </c>
      <c r="L331" t="s">
        <v>33</v>
      </c>
      <c r="M331" t="s">
        <v>34</v>
      </c>
      <c r="N331" s="1" t="s">
        <v>21</v>
      </c>
      <c r="O331" s="1" t="str">
        <f>IF(OR(TBL_Employees[[#This Row],[Exit Date]],FALSE),"Left employees", "Current employees")</f>
        <v>Current employees</v>
      </c>
    </row>
    <row r="332" spans="1:15" x14ac:dyDescent="0.35">
      <c r="A332" t="s">
        <v>941</v>
      </c>
      <c r="B332" t="s">
        <v>858</v>
      </c>
      <c r="C332" t="s">
        <v>89</v>
      </c>
      <c r="D332" t="s">
        <v>27</v>
      </c>
      <c r="E332" t="s">
        <v>36</v>
      </c>
      <c r="F332" t="s">
        <v>28</v>
      </c>
      <c r="G332" t="s">
        <v>47</v>
      </c>
      <c r="H332">
        <v>31</v>
      </c>
      <c r="I332" s="1">
        <v>42497</v>
      </c>
      <c r="J332" s="2">
        <v>71192</v>
      </c>
      <c r="K332" s="3">
        <v>0</v>
      </c>
      <c r="L332" t="s">
        <v>19</v>
      </c>
      <c r="M332" t="s">
        <v>25</v>
      </c>
      <c r="N332" s="1" t="s">
        <v>21</v>
      </c>
      <c r="O332" s="1" t="str">
        <f>IF(OR(TBL_Employees[[#This Row],[Exit Date]],FALSE),"Left employees", "Current employees")</f>
        <v>Current employees</v>
      </c>
    </row>
    <row r="333" spans="1:15" x14ac:dyDescent="0.35">
      <c r="A333" t="s">
        <v>942</v>
      </c>
      <c r="B333" t="s">
        <v>943</v>
      </c>
      <c r="C333" t="s">
        <v>40</v>
      </c>
      <c r="D333" t="s">
        <v>50</v>
      </c>
      <c r="E333" t="s">
        <v>36</v>
      </c>
      <c r="F333" t="s">
        <v>17</v>
      </c>
      <c r="G333" t="s">
        <v>51</v>
      </c>
      <c r="H333">
        <v>50</v>
      </c>
      <c r="I333" s="1">
        <v>43452</v>
      </c>
      <c r="J333" s="2">
        <v>155351</v>
      </c>
      <c r="K333" s="3">
        <v>0.2</v>
      </c>
      <c r="L333" t="s">
        <v>19</v>
      </c>
      <c r="M333" t="s">
        <v>63</v>
      </c>
      <c r="N333" s="1" t="s">
        <v>21</v>
      </c>
      <c r="O333" s="1" t="str">
        <f>IF(OR(TBL_Employees[[#This Row],[Exit Date]],FALSE),"Left employees", "Current employees")</f>
        <v>Current employees</v>
      </c>
    </row>
    <row r="334" spans="1:15" x14ac:dyDescent="0.35">
      <c r="A334" t="s">
        <v>944</v>
      </c>
      <c r="B334" t="s">
        <v>945</v>
      </c>
      <c r="C334" t="s">
        <v>40</v>
      </c>
      <c r="D334" t="s">
        <v>23</v>
      </c>
      <c r="E334" t="s">
        <v>44</v>
      </c>
      <c r="F334" t="s">
        <v>28</v>
      </c>
      <c r="G334" t="s">
        <v>24</v>
      </c>
      <c r="H334">
        <v>39</v>
      </c>
      <c r="I334" s="1">
        <v>39049</v>
      </c>
      <c r="J334" s="2">
        <v>161690</v>
      </c>
      <c r="K334" s="3">
        <v>0.28999999999999998</v>
      </c>
      <c r="L334" t="s">
        <v>33</v>
      </c>
      <c r="M334" t="s">
        <v>60</v>
      </c>
      <c r="N334" s="1" t="s">
        <v>21</v>
      </c>
      <c r="O334" s="1" t="str">
        <f>IF(OR(TBL_Employees[[#This Row],[Exit Date]],FALSE),"Left employees", "Current employees")</f>
        <v>Current employees</v>
      </c>
    </row>
    <row r="335" spans="1:15" x14ac:dyDescent="0.35">
      <c r="A335" t="s">
        <v>946</v>
      </c>
      <c r="B335" t="s">
        <v>947</v>
      </c>
      <c r="C335" t="s">
        <v>86</v>
      </c>
      <c r="D335" t="s">
        <v>31</v>
      </c>
      <c r="E335" t="s">
        <v>44</v>
      </c>
      <c r="F335" t="s">
        <v>17</v>
      </c>
      <c r="G335" t="s">
        <v>24</v>
      </c>
      <c r="H335">
        <v>35</v>
      </c>
      <c r="I335" s="1">
        <v>42776</v>
      </c>
      <c r="J335" s="2">
        <v>60132</v>
      </c>
      <c r="K335" s="3">
        <v>0</v>
      </c>
      <c r="L335" t="s">
        <v>33</v>
      </c>
      <c r="M335" t="s">
        <v>80</v>
      </c>
      <c r="N335" s="1" t="s">
        <v>21</v>
      </c>
      <c r="O335" s="1" t="str">
        <f>IF(OR(TBL_Employees[[#This Row],[Exit Date]],FALSE),"Left employees", "Current employees")</f>
        <v>Current employees</v>
      </c>
    </row>
    <row r="336" spans="1:15" x14ac:dyDescent="0.35">
      <c r="A336" t="s">
        <v>209</v>
      </c>
      <c r="B336" t="s">
        <v>948</v>
      </c>
      <c r="C336" t="s">
        <v>71</v>
      </c>
      <c r="D336" t="s">
        <v>27</v>
      </c>
      <c r="E336" t="s">
        <v>36</v>
      </c>
      <c r="F336" t="s">
        <v>28</v>
      </c>
      <c r="G336" t="s">
        <v>18</v>
      </c>
      <c r="H336">
        <v>54</v>
      </c>
      <c r="I336" s="1">
        <v>34631</v>
      </c>
      <c r="J336" s="2">
        <v>87216</v>
      </c>
      <c r="K336" s="3">
        <v>0</v>
      </c>
      <c r="L336" t="s">
        <v>19</v>
      </c>
      <c r="M336" t="s">
        <v>45</v>
      </c>
      <c r="N336" s="1" t="s">
        <v>21</v>
      </c>
      <c r="O336" s="1" t="str">
        <f>IF(OR(TBL_Employees[[#This Row],[Exit Date]],FALSE),"Left employees", "Current employees")</f>
        <v>Current employees</v>
      </c>
    </row>
    <row r="337" spans="1:15" x14ac:dyDescent="0.35">
      <c r="A337" t="s">
        <v>949</v>
      </c>
      <c r="B337" t="s">
        <v>950</v>
      </c>
      <c r="C337" t="s">
        <v>76</v>
      </c>
      <c r="D337" t="s">
        <v>27</v>
      </c>
      <c r="E337" t="s">
        <v>32</v>
      </c>
      <c r="F337" t="s">
        <v>28</v>
      </c>
      <c r="G337" t="s">
        <v>18</v>
      </c>
      <c r="H337">
        <v>47</v>
      </c>
      <c r="I337" s="1">
        <v>43944</v>
      </c>
      <c r="J337" s="2">
        <v>50069</v>
      </c>
      <c r="K337" s="3">
        <v>0</v>
      </c>
      <c r="L337" t="s">
        <v>19</v>
      </c>
      <c r="M337" t="s">
        <v>63</v>
      </c>
      <c r="N337" s="1" t="s">
        <v>21</v>
      </c>
      <c r="O337" s="1" t="str">
        <f>IF(OR(TBL_Employees[[#This Row],[Exit Date]],FALSE),"Left employees", "Current employees")</f>
        <v>Current employees</v>
      </c>
    </row>
    <row r="338" spans="1:15" x14ac:dyDescent="0.35">
      <c r="A338" t="s">
        <v>326</v>
      </c>
      <c r="B338" t="s">
        <v>951</v>
      </c>
      <c r="C338" t="s">
        <v>40</v>
      </c>
      <c r="D338" t="s">
        <v>27</v>
      </c>
      <c r="E338" t="s">
        <v>44</v>
      </c>
      <c r="F338" t="s">
        <v>17</v>
      </c>
      <c r="G338" t="s">
        <v>18</v>
      </c>
      <c r="H338">
        <v>26</v>
      </c>
      <c r="I338" s="1">
        <v>44403</v>
      </c>
      <c r="J338" s="2">
        <v>151108</v>
      </c>
      <c r="K338" s="3">
        <v>0.22</v>
      </c>
      <c r="L338" t="s">
        <v>19</v>
      </c>
      <c r="M338" t="s">
        <v>39</v>
      </c>
      <c r="N338" s="1" t="s">
        <v>21</v>
      </c>
      <c r="O338" s="1" t="str">
        <f>IF(OR(TBL_Employees[[#This Row],[Exit Date]],FALSE),"Left employees", "Current employees")</f>
        <v>Current employees</v>
      </c>
    </row>
    <row r="339" spans="1:15" x14ac:dyDescent="0.35">
      <c r="A339" t="s">
        <v>952</v>
      </c>
      <c r="B339" t="s">
        <v>953</v>
      </c>
      <c r="C339" t="s">
        <v>56</v>
      </c>
      <c r="D339" t="s">
        <v>27</v>
      </c>
      <c r="E339" t="s">
        <v>36</v>
      </c>
      <c r="F339" t="s">
        <v>17</v>
      </c>
      <c r="G339" t="s">
        <v>24</v>
      </c>
      <c r="H339">
        <v>42</v>
      </c>
      <c r="I339" s="1">
        <v>38640</v>
      </c>
      <c r="J339" s="2">
        <v>67398</v>
      </c>
      <c r="K339" s="3">
        <v>7.0000000000000007E-2</v>
      </c>
      <c r="L339" t="s">
        <v>19</v>
      </c>
      <c r="M339" t="s">
        <v>39</v>
      </c>
      <c r="N339" s="1" t="s">
        <v>21</v>
      </c>
      <c r="O339" s="1" t="str">
        <f>IF(OR(TBL_Employees[[#This Row],[Exit Date]],FALSE),"Left employees", "Current employees")</f>
        <v>Current employees</v>
      </c>
    </row>
    <row r="340" spans="1:15" x14ac:dyDescent="0.35">
      <c r="A340" t="s">
        <v>351</v>
      </c>
      <c r="B340" t="s">
        <v>954</v>
      </c>
      <c r="C340" t="s">
        <v>86</v>
      </c>
      <c r="D340" t="s">
        <v>31</v>
      </c>
      <c r="E340" t="s">
        <v>16</v>
      </c>
      <c r="F340" t="s">
        <v>17</v>
      </c>
      <c r="G340" t="s">
        <v>51</v>
      </c>
      <c r="H340">
        <v>47</v>
      </c>
      <c r="I340" s="1">
        <v>42245</v>
      </c>
      <c r="J340" s="2">
        <v>68488</v>
      </c>
      <c r="K340" s="3">
        <v>0</v>
      </c>
      <c r="L340" t="s">
        <v>19</v>
      </c>
      <c r="M340" t="s">
        <v>63</v>
      </c>
      <c r="N340" s="1" t="s">
        <v>21</v>
      </c>
      <c r="O340" s="1" t="str">
        <f>IF(OR(TBL_Employees[[#This Row],[Exit Date]],FALSE),"Left employees", "Current employees")</f>
        <v>Current employees</v>
      </c>
    </row>
    <row r="341" spans="1:15" x14ac:dyDescent="0.35">
      <c r="A341" t="s">
        <v>336</v>
      </c>
      <c r="B341" t="s">
        <v>955</v>
      </c>
      <c r="C341" t="s">
        <v>30</v>
      </c>
      <c r="D341" t="s">
        <v>31</v>
      </c>
      <c r="E341" t="s">
        <v>36</v>
      </c>
      <c r="F341" t="s">
        <v>17</v>
      </c>
      <c r="G341" t="s">
        <v>51</v>
      </c>
      <c r="H341">
        <v>60</v>
      </c>
      <c r="I341" s="1">
        <v>35992</v>
      </c>
      <c r="J341" s="2">
        <v>92932</v>
      </c>
      <c r="K341" s="3">
        <v>0</v>
      </c>
      <c r="L341" t="s">
        <v>19</v>
      </c>
      <c r="M341" t="s">
        <v>29</v>
      </c>
      <c r="N341" s="1" t="s">
        <v>21</v>
      </c>
      <c r="O341" s="1" t="str">
        <f>IF(OR(TBL_Employees[[#This Row],[Exit Date]],FALSE),"Left employees", "Current employees")</f>
        <v>Current employees</v>
      </c>
    </row>
    <row r="342" spans="1:15" x14ac:dyDescent="0.35">
      <c r="A342" t="s">
        <v>289</v>
      </c>
      <c r="B342" t="s">
        <v>956</v>
      </c>
      <c r="C342" t="s">
        <v>68</v>
      </c>
      <c r="D342" t="s">
        <v>15</v>
      </c>
      <c r="E342" t="s">
        <v>32</v>
      </c>
      <c r="F342" t="s">
        <v>17</v>
      </c>
      <c r="G342" t="s">
        <v>51</v>
      </c>
      <c r="H342">
        <v>36</v>
      </c>
      <c r="I342" s="1">
        <v>39994</v>
      </c>
      <c r="J342" s="2">
        <v>43363</v>
      </c>
      <c r="K342" s="3">
        <v>0</v>
      </c>
      <c r="L342" t="s">
        <v>19</v>
      </c>
      <c r="M342" t="s">
        <v>25</v>
      </c>
      <c r="N342" s="1" t="s">
        <v>21</v>
      </c>
      <c r="O342" s="1" t="str">
        <f>IF(OR(TBL_Employees[[#This Row],[Exit Date]],FALSE),"Left employees", "Current employees")</f>
        <v>Current employees</v>
      </c>
    </row>
    <row r="343" spans="1:15" x14ac:dyDescent="0.35">
      <c r="A343" t="s">
        <v>957</v>
      </c>
      <c r="B343" t="s">
        <v>958</v>
      </c>
      <c r="C343" t="s">
        <v>82</v>
      </c>
      <c r="D343" t="s">
        <v>27</v>
      </c>
      <c r="E343" t="s">
        <v>44</v>
      </c>
      <c r="F343" t="s">
        <v>28</v>
      </c>
      <c r="G343" t="s">
        <v>24</v>
      </c>
      <c r="H343">
        <v>31</v>
      </c>
      <c r="I343" s="1">
        <v>42780</v>
      </c>
      <c r="J343" s="2">
        <v>95963</v>
      </c>
      <c r="K343" s="3">
        <v>0</v>
      </c>
      <c r="L343" t="s">
        <v>33</v>
      </c>
      <c r="M343" t="s">
        <v>34</v>
      </c>
      <c r="N343" s="1" t="s">
        <v>21</v>
      </c>
      <c r="O343" s="1" t="str">
        <f>IF(OR(TBL_Employees[[#This Row],[Exit Date]],FALSE),"Left employees", "Current employees")</f>
        <v>Current employees</v>
      </c>
    </row>
    <row r="344" spans="1:15" x14ac:dyDescent="0.35">
      <c r="A344" t="s">
        <v>372</v>
      </c>
      <c r="B344" t="s">
        <v>959</v>
      </c>
      <c r="C344" t="s">
        <v>62</v>
      </c>
      <c r="D344" t="s">
        <v>15</v>
      </c>
      <c r="E344" t="s">
        <v>44</v>
      </c>
      <c r="F344" t="s">
        <v>17</v>
      </c>
      <c r="G344" t="s">
        <v>51</v>
      </c>
      <c r="H344">
        <v>55</v>
      </c>
      <c r="I344" s="1">
        <v>40297</v>
      </c>
      <c r="J344" s="2">
        <v>111038</v>
      </c>
      <c r="K344" s="3">
        <v>0.05</v>
      </c>
      <c r="L344" t="s">
        <v>52</v>
      </c>
      <c r="M344" t="s">
        <v>53</v>
      </c>
      <c r="N344" s="1" t="s">
        <v>21</v>
      </c>
      <c r="O344" s="1" t="str">
        <f>IF(OR(TBL_Employees[[#This Row],[Exit Date]],FALSE),"Left employees", "Current employees")</f>
        <v>Current employees</v>
      </c>
    </row>
    <row r="345" spans="1:15" x14ac:dyDescent="0.35">
      <c r="A345" t="s">
        <v>960</v>
      </c>
      <c r="B345" t="s">
        <v>961</v>
      </c>
      <c r="C345" t="s">
        <v>14</v>
      </c>
      <c r="D345" t="s">
        <v>31</v>
      </c>
      <c r="E345" t="s">
        <v>16</v>
      </c>
      <c r="F345" t="s">
        <v>17</v>
      </c>
      <c r="G345" t="s">
        <v>18</v>
      </c>
      <c r="H345">
        <v>51</v>
      </c>
      <c r="I345" s="1">
        <v>35230</v>
      </c>
      <c r="J345" s="2">
        <v>200246</v>
      </c>
      <c r="K345" s="3">
        <v>0.34</v>
      </c>
      <c r="L345" t="s">
        <v>19</v>
      </c>
      <c r="M345" t="s">
        <v>29</v>
      </c>
      <c r="N345" s="1" t="s">
        <v>21</v>
      </c>
      <c r="O345" s="1" t="str">
        <f>IF(OR(TBL_Employees[[#This Row],[Exit Date]],FALSE),"Left employees", "Current employees")</f>
        <v>Current employees</v>
      </c>
    </row>
    <row r="346" spans="1:15" x14ac:dyDescent="0.35">
      <c r="A346" t="s">
        <v>789</v>
      </c>
      <c r="B346" t="s">
        <v>962</v>
      </c>
      <c r="C346" t="s">
        <v>14</v>
      </c>
      <c r="D346" t="s">
        <v>27</v>
      </c>
      <c r="E346" t="s">
        <v>32</v>
      </c>
      <c r="F346" t="s">
        <v>17</v>
      </c>
      <c r="G346" t="s">
        <v>18</v>
      </c>
      <c r="H346">
        <v>48</v>
      </c>
      <c r="I346" s="1">
        <v>42053</v>
      </c>
      <c r="J346" s="2">
        <v>194871</v>
      </c>
      <c r="K346" s="3">
        <v>0.35</v>
      </c>
      <c r="L346" t="s">
        <v>19</v>
      </c>
      <c r="M346" t="s">
        <v>29</v>
      </c>
      <c r="N346" s="1" t="s">
        <v>21</v>
      </c>
      <c r="O346" s="1" t="str">
        <f>IF(OR(TBL_Employees[[#This Row],[Exit Date]],FALSE),"Left employees", "Current employees")</f>
        <v>Current employees</v>
      </c>
    </row>
    <row r="347" spans="1:15" x14ac:dyDescent="0.35">
      <c r="A347" t="s">
        <v>317</v>
      </c>
      <c r="B347" t="s">
        <v>963</v>
      </c>
      <c r="C347" t="s">
        <v>42</v>
      </c>
      <c r="D347" t="s">
        <v>65</v>
      </c>
      <c r="E347" t="s">
        <v>16</v>
      </c>
      <c r="F347" t="s">
        <v>28</v>
      </c>
      <c r="G347" t="s">
        <v>51</v>
      </c>
      <c r="H347">
        <v>58</v>
      </c>
      <c r="I347" s="1">
        <v>34592</v>
      </c>
      <c r="J347" s="2">
        <v>98769</v>
      </c>
      <c r="K347" s="3">
        <v>0</v>
      </c>
      <c r="L347" t="s">
        <v>52</v>
      </c>
      <c r="M347" t="s">
        <v>66</v>
      </c>
      <c r="N347" s="1">
        <v>42646</v>
      </c>
      <c r="O347" s="1" t="str">
        <f>IF(OR(TBL_Employees[[#This Row],[Exit Date]],FALSE),"Left employees", "Current employees")</f>
        <v>Left employees</v>
      </c>
    </row>
    <row r="348" spans="1:15" x14ac:dyDescent="0.35">
      <c r="A348" t="s">
        <v>377</v>
      </c>
      <c r="B348" t="s">
        <v>964</v>
      </c>
      <c r="C348" t="s">
        <v>94</v>
      </c>
      <c r="D348" t="s">
        <v>50</v>
      </c>
      <c r="E348" t="s">
        <v>16</v>
      </c>
      <c r="F348" t="s">
        <v>17</v>
      </c>
      <c r="G348" t="s">
        <v>51</v>
      </c>
      <c r="H348">
        <v>29</v>
      </c>
      <c r="I348" s="1">
        <v>43239</v>
      </c>
      <c r="J348" s="2">
        <v>65334</v>
      </c>
      <c r="K348" s="3">
        <v>0</v>
      </c>
      <c r="L348" t="s">
        <v>52</v>
      </c>
      <c r="M348" t="s">
        <v>66</v>
      </c>
      <c r="N348" s="1" t="s">
        <v>21</v>
      </c>
      <c r="O348" s="1" t="str">
        <f>IF(OR(TBL_Employees[[#This Row],[Exit Date]],FALSE),"Left employees", "Current employees")</f>
        <v>Current employees</v>
      </c>
    </row>
    <row r="349" spans="1:15" x14ac:dyDescent="0.35">
      <c r="A349" t="s">
        <v>144</v>
      </c>
      <c r="B349" t="s">
        <v>965</v>
      </c>
      <c r="C349" t="s">
        <v>55</v>
      </c>
      <c r="D349" t="s">
        <v>27</v>
      </c>
      <c r="E349" t="s">
        <v>36</v>
      </c>
      <c r="F349" t="s">
        <v>17</v>
      </c>
      <c r="G349" t="s">
        <v>51</v>
      </c>
      <c r="H349">
        <v>25</v>
      </c>
      <c r="I349" s="1">
        <v>44327</v>
      </c>
      <c r="J349" s="2">
        <v>83934</v>
      </c>
      <c r="K349" s="3">
        <v>0</v>
      </c>
      <c r="L349" t="s">
        <v>19</v>
      </c>
      <c r="M349" t="s">
        <v>45</v>
      </c>
      <c r="N349" s="1" t="s">
        <v>21</v>
      </c>
      <c r="O349" s="1" t="str">
        <f>IF(OR(TBL_Employees[[#This Row],[Exit Date]],FALSE),"Left employees", "Current employees")</f>
        <v>Current employees</v>
      </c>
    </row>
    <row r="350" spans="1:15" x14ac:dyDescent="0.35">
      <c r="A350" t="s">
        <v>966</v>
      </c>
      <c r="B350" t="s">
        <v>967</v>
      </c>
      <c r="C350" t="s">
        <v>40</v>
      </c>
      <c r="D350" t="s">
        <v>65</v>
      </c>
      <c r="E350" t="s">
        <v>16</v>
      </c>
      <c r="F350" t="s">
        <v>28</v>
      </c>
      <c r="G350" t="s">
        <v>18</v>
      </c>
      <c r="H350">
        <v>36</v>
      </c>
      <c r="I350" s="1">
        <v>42616</v>
      </c>
      <c r="J350" s="2">
        <v>150399</v>
      </c>
      <c r="K350" s="3">
        <v>0.28000000000000003</v>
      </c>
      <c r="L350" t="s">
        <v>19</v>
      </c>
      <c r="M350" t="s">
        <v>20</v>
      </c>
      <c r="N350" s="1" t="s">
        <v>21</v>
      </c>
      <c r="O350" s="1" t="str">
        <f>IF(OR(TBL_Employees[[#This Row],[Exit Date]],FALSE),"Left employees", "Current employees")</f>
        <v>Current employees</v>
      </c>
    </row>
    <row r="351" spans="1:15" x14ac:dyDescent="0.35">
      <c r="A351" t="s">
        <v>321</v>
      </c>
      <c r="B351" t="s">
        <v>968</v>
      </c>
      <c r="C351" t="s">
        <v>40</v>
      </c>
      <c r="D351" t="s">
        <v>23</v>
      </c>
      <c r="E351" t="s">
        <v>16</v>
      </c>
      <c r="F351" t="s">
        <v>28</v>
      </c>
      <c r="G351" t="s">
        <v>24</v>
      </c>
      <c r="H351">
        <v>37</v>
      </c>
      <c r="I351" s="1">
        <v>41048</v>
      </c>
      <c r="J351" s="2">
        <v>160280</v>
      </c>
      <c r="K351" s="3">
        <v>0.19</v>
      </c>
      <c r="L351" t="s">
        <v>33</v>
      </c>
      <c r="M351" t="s">
        <v>60</v>
      </c>
      <c r="N351" s="1" t="s">
        <v>21</v>
      </c>
      <c r="O351" s="1" t="str">
        <f>IF(OR(TBL_Employees[[#This Row],[Exit Date]],FALSE),"Left employees", "Current employees")</f>
        <v>Current employees</v>
      </c>
    </row>
    <row r="352" spans="1:15" x14ac:dyDescent="0.35">
      <c r="A352" t="s">
        <v>969</v>
      </c>
      <c r="B352" t="s">
        <v>383</v>
      </c>
      <c r="C352" t="s">
        <v>83</v>
      </c>
      <c r="D352" t="s">
        <v>23</v>
      </c>
      <c r="E352" t="s">
        <v>44</v>
      </c>
      <c r="F352" t="s">
        <v>28</v>
      </c>
      <c r="G352" t="s">
        <v>24</v>
      </c>
      <c r="H352">
        <v>57</v>
      </c>
      <c r="I352" s="1">
        <v>35548</v>
      </c>
      <c r="J352" s="2">
        <v>54051</v>
      </c>
      <c r="K352" s="3">
        <v>0</v>
      </c>
      <c r="L352" t="s">
        <v>19</v>
      </c>
      <c r="M352" t="s">
        <v>45</v>
      </c>
      <c r="N352" s="1">
        <v>36079</v>
      </c>
      <c r="O352" s="1" t="str">
        <f>IF(OR(TBL_Employees[[#This Row],[Exit Date]],FALSE),"Left employees", "Current employees")</f>
        <v>Left employees</v>
      </c>
    </row>
    <row r="353" spans="1:15" x14ac:dyDescent="0.35">
      <c r="A353" t="s">
        <v>970</v>
      </c>
      <c r="B353" t="s">
        <v>971</v>
      </c>
      <c r="C353" t="s">
        <v>40</v>
      </c>
      <c r="D353" t="s">
        <v>31</v>
      </c>
      <c r="E353" t="s">
        <v>16</v>
      </c>
      <c r="F353" t="s">
        <v>17</v>
      </c>
      <c r="G353" t="s">
        <v>51</v>
      </c>
      <c r="H353">
        <v>59</v>
      </c>
      <c r="I353" s="1">
        <v>37726</v>
      </c>
      <c r="J353" s="2">
        <v>150699</v>
      </c>
      <c r="K353" s="3">
        <v>0.28999999999999998</v>
      </c>
      <c r="L353" t="s">
        <v>52</v>
      </c>
      <c r="M353" t="s">
        <v>53</v>
      </c>
      <c r="N353" s="1" t="s">
        <v>21</v>
      </c>
      <c r="O353" s="1" t="str">
        <f>IF(OR(TBL_Employees[[#This Row],[Exit Date]],FALSE),"Left employees", "Current employees")</f>
        <v>Current employees</v>
      </c>
    </row>
    <row r="354" spans="1:15" x14ac:dyDescent="0.35">
      <c r="A354" t="s">
        <v>264</v>
      </c>
      <c r="B354" t="s">
        <v>972</v>
      </c>
      <c r="C354" t="s">
        <v>64</v>
      </c>
      <c r="D354" t="s">
        <v>43</v>
      </c>
      <c r="E354" t="s">
        <v>44</v>
      </c>
      <c r="F354" t="s">
        <v>28</v>
      </c>
      <c r="G354" t="s">
        <v>51</v>
      </c>
      <c r="H354">
        <v>37</v>
      </c>
      <c r="I354" s="1">
        <v>41363</v>
      </c>
      <c r="J354" s="2">
        <v>69570</v>
      </c>
      <c r="K354" s="3">
        <v>0</v>
      </c>
      <c r="L354" t="s">
        <v>19</v>
      </c>
      <c r="M354" t="s">
        <v>45</v>
      </c>
      <c r="N354" s="1" t="s">
        <v>21</v>
      </c>
      <c r="O354" s="1" t="str">
        <f>IF(OR(TBL_Employees[[#This Row],[Exit Date]],FALSE),"Left employees", "Current employees")</f>
        <v>Current employees</v>
      </c>
    </row>
    <row r="355" spans="1:15" x14ac:dyDescent="0.35">
      <c r="A355" t="s">
        <v>173</v>
      </c>
      <c r="B355" t="s">
        <v>973</v>
      </c>
      <c r="C355" t="s">
        <v>82</v>
      </c>
      <c r="D355" t="s">
        <v>27</v>
      </c>
      <c r="E355" t="s">
        <v>36</v>
      </c>
      <c r="F355" t="s">
        <v>17</v>
      </c>
      <c r="G355" t="s">
        <v>24</v>
      </c>
      <c r="H355">
        <v>30</v>
      </c>
      <c r="I355" s="1">
        <v>43553</v>
      </c>
      <c r="J355" s="2">
        <v>86774</v>
      </c>
      <c r="K355" s="3">
        <v>0</v>
      </c>
      <c r="L355" t="s">
        <v>33</v>
      </c>
      <c r="M355" t="s">
        <v>34</v>
      </c>
      <c r="N355" s="1" t="s">
        <v>21</v>
      </c>
      <c r="O355" s="1" t="str">
        <f>IF(OR(TBL_Employees[[#This Row],[Exit Date]],FALSE),"Left employees", "Current employees")</f>
        <v>Current employees</v>
      </c>
    </row>
    <row r="356" spans="1:15" x14ac:dyDescent="0.35">
      <c r="A356" t="s">
        <v>974</v>
      </c>
      <c r="B356" t="s">
        <v>975</v>
      </c>
      <c r="C356" t="s">
        <v>22</v>
      </c>
      <c r="D356" t="s">
        <v>23</v>
      </c>
      <c r="E356" t="s">
        <v>36</v>
      </c>
      <c r="F356" t="s">
        <v>28</v>
      </c>
      <c r="G356" t="s">
        <v>18</v>
      </c>
      <c r="H356">
        <v>49</v>
      </c>
      <c r="I356" s="1">
        <v>36979</v>
      </c>
      <c r="J356" s="2">
        <v>57606</v>
      </c>
      <c r="K356" s="3">
        <v>0</v>
      </c>
      <c r="L356" t="s">
        <v>19</v>
      </c>
      <c r="M356" t="s">
        <v>45</v>
      </c>
      <c r="N356" s="1" t="s">
        <v>21</v>
      </c>
      <c r="O356" s="1" t="str">
        <f>IF(OR(TBL_Employees[[#This Row],[Exit Date]],FALSE),"Left employees", "Current employees")</f>
        <v>Current employees</v>
      </c>
    </row>
    <row r="357" spans="1:15" x14ac:dyDescent="0.35">
      <c r="A357" t="s">
        <v>397</v>
      </c>
      <c r="B357" t="s">
        <v>181</v>
      </c>
      <c r="C357" t="s">
        <v>61</v>
      </c>
      <c r="D357" t="s">
        <v>15</v>
      </c>
      <c r="E357" t="s">
        <v>32</v>
      </c>
      <c r="F357" t="s">
        <v>17</v>
      </c>
      <c r="G357" t="s">
        <v>24</v>
      </c>
      <c r="H357">
        <v>48</v>
      </c>
      <c r="I357" s="1">
        <v>37144</v>
      </c>
      <c r="J357" s="2">
        <v>125730</v>
      </c>
      <c r="K357" s="3">
        <v>0.11</v>
      </c>
      <c r="L357" t="s">
        <v>33</v>
      </c>
      <c r="M357" t="s">
        <v>80</v>
      </c>
      <c r="N357" s="1" t="s">
        <v>21</v>
      </c>
      <c r="O357" s="1" t="str">
        <f>IF(OR(TBL_Employees[[#This Row],[Exit Date]],FALSE),"Left employees", "Current employees")</f>
        <v>Current employees</v>
      </c>
    </row>
    <row r="358" spans="1:15" x14ac:dyDescent="0.35">
      <c r="A358" t="s">
        <v>221</v>
      </c>
      <c r="B358" t="s">
        <v>976</v>
      </c>
      <c r="C358" t="s">
        <v>98</v>
      </c>
      <c r="D358" t="s">
        <v>27</v>
      </c>
      <c r="E358" t="s">
        <v>16</v>
      </c>
      <c r="F358" t="s">
        <v>17</v>
      </c>
      <c r="G358" t="s">
        <v>24</v>
      </c>
      <c r="H358">
        <v>51</v>
      </c>
      <c r="I358" s="1">
        <v>40964</v>
      </c>
      <c r="J358" s="2">
        <v>64170</v>
      </c>
      <c r="K358" s="3">
        <v>0</v>
      </c>
      <c r="L358" t="s">
        <v>19</v>
      </c>
      <c r="M358" t="s">
        <v>29</v>
      </c>
      <c r="N358" s="1" t="s">
        <v>21</v>
      </c>
      <c r="O358" s="1" t="str">
        <f>IF(OR(TBL_Employees[[#This Row],[Exit Date]],FALSE),"Left employees", "Current employees")</f>
        <v>Current employees</v>
      </c>
    </row>
    <row r="359" spans="1:15" x14ac:dyDescent="0.35">
      <c r="A359" t="s">
        <v>977</v>
      </c>
      <c r="B359" t="s">
        <v>978</v>
      </c>
      <c r="C359" t="s">
        <v>77</v>
      </c>
      <c r="D359" t="s">
        <v>23</v>
      </c>
      <c r="E359" t="s">
        <v>44</v>
      </c>
      <c r="F359" t="s">
        <v>28</v>
      </c>
      <c r="G359" t="s">
        <v>51</v>
      </c>
      <c r="H359">
        <v>56</v>
      </c>
      <c r="I359" s="1">
        <v>35816</v>
      </c>
      <c r="J359" s="2">
        <v>72303</v>
      </c>
      <c r="K359" s="3">
        <v>0</v>
      </c>
      <c r="L359" t="s">
        <v>19</v>
      </c>
      <c r="M359" t="s">
        <v>39</v>
      </c>
      <c r="N359" s="1" t="s">
        <v>21</v>
      </c>
      <c r="O359" s="1" t="str">
        <f>IF(OR(TBL_Employees[[#This Row],[Exit Date]],FALSE),"Left employees", "Current employees")</f>
        <v>Current employees</v>
      </c>
    </row>
    <row r="360" spans="1:15" x14ac:dyDescent="0.35">
      <c r="A360" t="s">
        <v>979</v>
      </c>
      <c r="B360" t="s">
        <v>980</v>
      </c>
      <c r="C360" t="s">
        <v>62</v>
      </c>
      <c r="D360" t="s">
        <v>50</v>
      </c>
      <c r="E360" t="s">
        <v>16</v>
      </c>
      <c r="F360" t="s">
        <v>28</v>
      </c>
      <c r="G360" t="s">
        <v>51</v>
      </c>
      <c r="H360">
        <v>36</v>
      </c>
      <c r="I360" s="1">
        <v>41116</v>
      </c>
      <c r="J360" s="2">
        <v>105891</v>
      </c>
      <c r="K360" s="3">
        <v>7.0000000000000007E-2</v>
      </c>
      <c r="L360" t="s">
        <v>19</v>
      </c>
      <c r="M360" t="s">
        <v>63</v>
      </c>
      <c r="N360" s="1" t="s">
        <v>21</v>
      </c>
      <c r="O360" s="1" t="str">
        <f>IF(OR(TBL_Employees[[#This Row],[Exit Date]],FALSE),"Left employees", "Current employees")</f>
        <v>Current employees</v>
      </c>
    </row>
    <row r="361" spans="1:15" x14ac:dyDescent="0.35">
      <c r="A361" t="s">
        <v>287</v>
      </c>
      <c r="B361" t="s">
        <v>981</v>
      </c>
      <c r="C361" t="s">
        <v>14</v>
      </c>
      <c r="D361" t="s">
        <v>43</v>
      </c>
      <c r="E361" t="s">
        <v>44</v>
      </c>
      <c r="F361" t="s">
        <v>28</v>
      </c>
      <c r="G361" t="s">
        <v>24</v>
      </c>
      <c r="H361">
        <v>38</v>
      </c>
      <c r="I361" s="1">
        <v>44433</v>
      </c>
      <c r="J361" s="2">
        <v>255230</v>
      </c>
      <c r="K361" s="3">
        <v>0.36</v>
      </c>
      <c r="L361" t="s">
        <v>19</v>
      </c>
      <c r="M361" t="s">
        <v>25</v>
      </c>
      <c r="N361" s="1" t="s">
        <v>21</v>
      </c>
      <c r="O361" s="1" t="str">
        <f>IF(OR(TBL_Employees[[#This Row],[Exit Date]],FALSE),"Left employees", "Current employees")</f>
        <v>Current employees</v>
      </c>
    </row>
    <row r="362" spans="1:15" x14ac:dyDescent="0.35">
      <c r="A362" t="s">
        <v>982</v>
      </c>
      <c r="B362" t="s">
        <v>983</v>
      </c>
      <c r="C362" t="s">
        <v>64</v>
      </c>
      <c r="D362" t="s">
        <v>50</v>
      </c>
      <c r="E362" t="s">
        <v>36</v>
      </c>
      <c r="F362" t="s">
        <v>17</v>
      </c>
      <c r="G362" t="s">
        <v>51</v>
      </c>
      <c r="H362">
        <v>56</v>
      </c>
      <c r="I362" s="1">
        <v>33770</v>
      </c>
      <c r="J362" s="2">
        <v>59591</v>
      </c>
      <c r="K362" s="3">
        <v>0</v>
      </c>
      <c r="L362" t="s">
        <v>52</v>
      </c>
      <c r="M362" t="s">
        <v>53</v>
      </c>
      <c r="N362" s="1" t="s">
        <v>21</v>
      </c>
      <c r="O362" s="1" t="str">
        <f>IF(OR(TBL_Employees[[#This Row],[Exit Date]],FALSE),"Left employees", "Current employees")</f>
        <v>Current employees</v>
      </c>
    </row>
    <row r="363" spans="1:15" x14ac:dyDescent="0.35">
      <c r="A363" t="s">
        <v>984</v>
      </c>
      <c r="B363" t="s">
        <v>985</v>
      </c>
      <c r="C363" t="s">
        <v>14</v>
      </c>
      <c r="D363" t="s">
        <v>23</v>
      </c>
      <c r="E363" t="s">
        <v>36</v>
      </c>
      <c r="F363" t="s">
        <v>17</v>
      </c>
      <c r="G363" t="s">
        <v>24</v>
      </c>
      <c r="H363">
        <v>52</v>
      </c>
      <c r="I363" s="1">
        <v>41113</v>
      </c>
      <c r="J363" s="2">
        <v>187048</v>
      </c>
      <c r="K363" s="3">
        <v>0.32</v>
      </c>
      <c r="L363" t="s">
        <v>33</v>
      </c>
      <c r="M363" t="s">
        <v>34</v>
      </c>
      <c r="N363" s="1" t="s">
        <v>21</v>
      </c>
      <c r="O363" s="1" t="str">
        <f>IF(OR(TBL_Employees[[#This Row],[Exit Date]],FALSE),"Left employees", "Current employees")</f>
        <v>Current employees</v>
      </c>
    </row>
    <row r="364" spans="1:15" x14ac:dyDescent="0.35">
      <c r="A364" t="s">
        <v>183</v>
      </c>
      <c r="B364" t="s">
        <v>986</v>
      </c>
      <c r="C364" t="s">
        <v>64</v>
      </c>
      <c r="D364" t="s">
        <v>15</v>
      </c>
      <c r="E364" t="s">
        <v>44</v>
      </c>
      <c r="F364" t="s">
        <v>17</v>
      </c>
      <c r="G364" t="s">
        <v>51</v>
      </c>
      <c r="H364">
        <v>53</v>
      </c>
      <c r="I364" s="1">
        <v>37296</v>
      </c>
      <c r="J364" s="2">
        <v>58605</v>
      </c>
      <c r="K364" s="3">
        <v>0</v>
      </c>
      <c r="L364" t="s">
        <v>19</v>
      </c>
      <c r="M364" t="s">
        <v>39</v>
      </c>
      <c r="N364" s="1" t="s">
        <v>21</v>
      </c>
      <c r="O364" s="1" t="str">
        <f>IF(OR(TBL_Employees[[#This Row],[Exit Date]],FALSE),"Left employees", "Current employees")</f>
        <v>Current employees</v>
      </c>
    </row>
    <row r="365" spans="1:15" x14ac:dyDescent="0.35">
      <c r="A365" t="s">
        <v>987</v>
      </c>
      <c r="B365" t="s">
        <v>988</v>
      </c>
      <c r="C365" t="s">
        <v>40</v>
      </c>
      <c r="D365" t="s">
        <v>31</v>
      </c>
      <c r="E365" t="s">
        <v>32</v>
      </c>
      <c r="F365" t="s">
        <v>17</v>
      </c>
      <c r="G365" t="s">
        <v>51</v>
      </c>
      <c r="H365">
        <v>60</v>
      </c>
      <c r="I365" s="1">
        <v>42739</v>
      </c>
      <c r="J365" s="2">
        <v>178502</v>
      </c>
      <c r="K365" s="3">
        <v>0.2</v>
      </c>
      <c r="L365" t="s">
        <v>19</v>
      </c>
      <c r="M365" t="s">
        <v>25</v>
      </c>
      <c r="N365" s="1" t="s">
        <v>21</v>
      </c>
      <c r="O365" s="1" t="str">
        <f>IF(OR(TBL_Employees[[#This Row],[Exit Date]],FALSE),"Left employees", "Current employees")</f>
        <v>Current employees</v>
      </c>
    </row>
    <row r="366" spans="1:15" x14ac:dyDescent="0.35">
      <c r="A366" t="s">
        <v>989</v>
      </c>
      <c r="B366" t="s">
        <v>990</v>
      </c>
      <c r="C366" t="s">
        <v>62</v>
      </c>
      <c r="D366" t="s">
        <v>65</v>
      </c>
      <c r="E366" t="s">
        <v>44</v>
      </c>
      <c r="F366" t="s">
        <v>28</v>
      </c>
      <c r="G366" t="s">
        <v>24</v>
      </c>
      <c r="H366">
        <v>63</v>
      </c>
      <c r="I366" s="1">
        <v>42214</v>
      </c>
      <c r="J366" s="2">
        <v>103724</v>
      </c>
      <c r="K366" s="3">
        <v>0.05</v>
      </c>
      <c r="L366" t="s">
        <v>33</v>
      </c>
      <c r="M366" t="s">
        <v>74</v>
      </c>
      <c r="N366" s="1" t="s">
        <v>21</v>
      </c>
      <c r="O366" s="1" t="str">
        <f>IF(OR(TBL_Employees[[#This Row],[Exit Date]],FALSE),"Left employees", "Current employees")</f>
        <v>Current employees</v>
      </c>
    </row>
    <row r="367" spans="1:15" x14ac:dyDescent="0.35">
      <c r="A367" t="s">
        <v>991</v>
      </c>
      <c r="B367" t="s">
        <v>992</v>
      </c>
      <c r="C367" t="s">
        <v>40</v>
      </c>
      <c r="D367" t="s">
        <v>31</v>
      </c>
      <c r="E367" t="s">
        <v>16</v>
      </c>
      <c r="F367" t="s">
        <v>17</v>
      </c>
      <c r="G367" t="s">
        <v>51</v>
      </c>
      <c r="H367">
        <v>37</v>
      </c>
      <c r="I367" s="1">
        <v>39528</v>
      </c>
      <c r="J367" s="2">
        <v>156277</v>
      </c>
      <c r="K367" s="3">
        <v>0.22</v>
      </c>
      <c r="L367" t="s">
        <v>52</v>
      </c>
      <c r="M367" t="s">
        <v>81</v>
      </c>
      <c r="N367" s="1" t="s">
        <v>21</v>
      </c>
      <c r="O367" s="1" t="str">
        <f>IF(OR(TBL_Employees[[#This Row],[Exit Date]],FALSE),"Left employees", "Current employees")</f>
        <v>Current employees</v>
      </c>
    </row>
    <row r="368" spans="1:15" x14ac:dyDescent="0.35">
      <c r="A368" t="s">
        <v>993</v>
      </c>
      <c r="B368" t="s">
        <v>994</v>
      </c>
      <c r="C368" t="s">
        <v>129</v>
      </c>
      <c r="D368" t="s">
        <v>31</v>
      </c>
      <c r="E368" t="s">
        <v>16</v>
      </c>
      <c r="F368" t="s">
        <v>17</v>
      </c>
      <c r="G368" t="s">
        <v>51</v>
      </c>
      <c r="H368">
        <v>30</v>
      </c>
      <c r="I368" s="1">
        <v>43086</v>
      </c>
      <c r="J368" s="2">
        <v>87744</v>
      </c>
      <c r="K368" s="3">
        <v>0</v>
      </c>
      <c r="L368" t="s">
        <v>52</v>
      </c>
      <c r="M368" t="s">
        <v>53</v>
      </c>
      <c r="N368" s="1" t="s">
        <v>21</v>
      </c>
      <c r="O368" s="1" t="str">
        <f>IF(OR(TBL_Employees[[#This Row],[Exit Date]],FALSE),"Left employees", "Current employees")</f>
        <v>Current employees</v>
      </c>
    </row>
    <row r="369" spans="1:15" x14ac:dyDescent="0.35">
      <c r="A369" t="s">
        <v>995</v>
      </c>
      <c r="B369" t="s">
        <v>996</v>
      </c>
      <c r="C369" t="s">
        <v>64</v>
      </c>
      <c r="D369" t="s">
        <v>15</v>
      </c>
      <c r="E369" t="s">
        <v>36</v>
      </c>
      <c r="F369" t="s">
        <v>28</v>
      </c>
      <c r="G369" t="s">
        <v>18</v>
      </c>
      <c r="H369">
        <v>30</v>
      </c>
      <c r="I369" s="1">
        <v>43542</v>
      </c>
      <c r="J369" s="2">
        <v>54714</v>
      </c>
      <c r="K369" s="3">
        <v>0</v>
      </c>
      <c r="L369" t="s">
        <v>19</v>
      </c>
      <c r="M369" t="s">
        <v>29</v>
      </c>
      <c r="N369" s="1" t="s">
        <v>21</v>
      </c>
      <c r="O369" s="1" t="str">
        <f>IF(OR(TBL_Employees[[#This Row],[Exit Date]],FALSE),"Left employees", "Current employees")</f>
        <v>Current employees</v>
      </c>
    </row>
    <row r="370" spans="1:15" x14ac:dyDescent="0.35">
      <c r="A370" t="s">
        <v>997</v>
      </c>
      <c r="B370" t="s">
        <v>998</v>
      </c>
      <c r="C370" t="s">
        <v>26</v>
      </c>
      <c r="D370" t="s">
        <v>27</v>
      </c>
      <c r="E370" t="s">
        <v>32</v>
      </c>
      <c r="F370" t="s">
        <v>17</v>
      </c>
      <c r="G370" t="s">
        <v>24</v>
      </c>
      <c r="H370">
        <v>45</v>
      </c>
      <c r="I370" s="1">
        <v>41511</v>
      </c>
      <c r="J370" s="2">
        <v>99169</v>
      </c>
      <c r="K370" s="3">
        <v>0</v>
      </c>
      <c r="L370" t="s">
        <v>33</v>
      </c>
      <c r="M370" t="s">
        <v>60</v>
      </c>
      <c r="N370" s="1" t="s">
        <v>21</v>
      </c>
      <c r="O370" s="1" t="str">
        <f>IF(OR(TBL_Employees[[#This Row],[Exit Date]],FALSE),"Left employees", "Current employees")</f>
        <v>Current employees</v>
      </c>
    </row>
    <row r="371" spans="1:15" x14ac:dyDescent="0.35">
      <c r="A371" t="s">
        <v>302</v>
      </c>
      <c r="B371" t="s">
        <v>999</v>
      </c>
      <c r="C371" t="s">
        <v>61</v>
      </c>
      <c r="D371" t="s">
        <v>65</v>
      </c>
      <c r="E371" t="s">
        <v>16</v>
      </c>
      <c r="F371" t="s">
        <v>17</v>
      </c>
      <c r="G371" t="s">
        <v>24</v>
      </c>
      <c r="H371">
        <v>55</v>
      </c>
      <c r="I371" s="1">
        <v>38888</v>
      </c>
      <c r="J371" s="2">
        <v>142628</v>
      </c>
      <c r="K371" s="3">
        <v>0.12</v>
      </c>
      <c r="L371" t="s">
        <v>33</v>
      </c>
      <c r="M371" t="s">
        <v>80</v>
      </c>
      <c r="N371" s="1" t="s">
        <v>21</v>
      </c>
      <c r="O371" s="1" t="str">
        <f>IF(OR(TBL_Employees[[#This Row],[Exit Date]],FALSE),"Left employees", "Current employees")</f>
        <v>Current employees</v>
      </c>
    </row>
    <row r="372" spans="1:15" x14ac:dyDescent="0.35">
      <c r="A372" t="s">
        <v>271</v>
      </c>
      <c r="B372" t="s">
        <v>1000</v>
      </c>
      <c r="C372" t="s">
        <v>42</v>
      </c>
      <c r="D372" t="s">
        <v>43</v>
      </c>
      <c r="E372" t="s">
        <v>36</v>
      </c>
      <c r="F372" t="s">
        <v>17</v>
      </c>
      <c r="G372" t="s">
        <v>51</v>
      </c>
      <c r="H372">
        <v>33</v>
      </c>
      <c r="I372" s="1">
        <v>41756</v>
      </c>
      <c r="J372" s="2">
        <v>75869</v>
      </c>
      <c r="K372" s="3">
        <v>0</v>
      </c>
      <c r="L372" t="s">
        <v>52</v>
      </c>
      <c r="M372" t="s">
        <v>53</v>
      </c>
      <c r="N372" s="1" t="s">
        <v>21</v>
      </c>
      <c r="O372" s="1" t="str">
        <f>IF(OR(TBL_Employees[[#This Row],[Exit Date]],FALSE),"Left employees", "Current employees")</f>
        <v>Current employees</v>
      </c>
    </row>
    <row r="373" spans="1:15" x14ac:dyDescent="0.35">
      <c r="A373" t="s">
        <v>276</v>
      </c>
      <c r="B373" t="s">
        <v>1001</v>
      </c>
      <c r="C373" t="s">
        <v>71</v>
      </c>
      <c r="D373" t="s">
        <v>27</v>
      </c>
      <c r="E373" t="s">
        <v>36</v>
      </c>
      <c r="F373" t="s">
        <v>17</v>
      </c>
      <c r="G373" t="s">
        <v>18</v>
      </c>
      <c r="H373">
        <v>65</v>
      </c>
      <c r="I373" s="1">
        <v>43234</v>
      </c>
      <c r="J373" s="2">
        <v>60985</v>
      </c>
      <c r="K373" s="3">
        <v>0</v>
      </c>
      <c r="L373" t="s">
        <v>19</v>
      </c>
      <c r="M373" t="s">
        <v>63</v>
      </c>
      <c r="N373" s="1" t="s">
        <v>21</v>
      </c>
      <c r="O373" s="1" t="str">
        <f>IF(OR(TBL_Employees[[#This Row],[Exit Date]],FALSE),"Left employees", "Current employees")</f>
        <v>Current employees</v>
      </c>
    </row>
    <row r="374" spans="1:15" x14ac:dyDescent="0.35">
      <c r="A374" t="s">
        <v>175</v>
      </c>
      <c r="B374" t="s">
        <v>1002</v>
      </c>
      <c r="C374" t="s">
        <v>61</v>
      </c>
      <c r="D374" t="s">
        <v>27</v>
      </c>
      <c r="E374" t="s">
        <v>16</v>
      </c>
      <c r="F374" t="s">
        <v>17</v>
      </c>
      <c r="G374" t="s">
        <v>24</v>
      </c>
      <c r="H374">
        <v>60</v>
      </c>
      <c r="I374" s="1">
        <v>40383</v>
      </c>
      <c r="J374" s="2">
        <v>126911</v>
      </c>
      <c r="K374" s="3">
        <v>0.1</v>
      </c>
      <c r="L374" t="s">
        <v>33</v>
      </c>
      <c r="M374" t="s">
        <v>74</v>
      </c>
      <c r="N374" s="1" t="s">
        <v>21</v>
      </c>
      <c r="O374" s="1" t="str">
        <f>IF(OR(TBL_Employees[[#This Row],[Exit Date]],FALSE),"Left employees", "Current employees")</f>
        <v>Current employees</v>
      </c>
    </row>
    <row r="375" spans="1:15" x14ac:dyDescent="0.35">
      <c r="A375" t="s">
        <v>1003</v>
      </c>
      <c r="B375" t="s">
        <v>1004</v>
      </c>
      <c r="C375" t="s">
        <v>14</v>
      </c>
      <c r="D375" t="s">
        <v>50</v>
      </c>
      <c r="E375" t="s">
        <v>16</v>
      </c>
      <c r="F375" t="s">
        <v>28</v>
      </c>
      <c r="G375" t="s">
        <v>24</v>
      </c>
      <c r="H375">
        <v>56</v>
      </c>
      <c r="I375" s="1">
        <v>38042</v>
      </c>
      <c r="J375" s="2">
        <v>216949</v>
      </c>
      <c r="K375" s="3">
        <v>0.32</v>
      </c>
      <c r="L375" t="s">
        <v>33</v>
      </c>
      <c r="M375" t="s">
        <v>74</v>
      </c>
      <c r="N375" s="1" t="s">
        <v>21</v>
      </c>
      <c r="O375" s="1" t="str">
        <f>IF(OR(TBL_Employees[[#This Row],[Exit Date]],FALSE),"Left employees", "Current employees")</f>
        <v>Current employees</v>
      </c>
    </row>
    <row r="376" spans="1:15" x14ac:dyDescent="0.35">
      <c r="A376" t="s">
        <v>1005</v>
      </c>
      <c r="B376" t="s">
        <v>1006</v>
      </c>
      <c r="C376" t="s">
        <v>40</v>
      </c>
      <c r="D376" t="s">
        <v>31</v>
      </c>
      <c r="E376" t="s">
        <v>36</v>
      </c>
      <c r="F376" t="s">
        <v>28</v>
      </c>
      <c r="G376" t="s">
        <v>24</v>
      </c>
      <c r="H376">
        <v>53</v>
      </c>
      <c r="I376" s="1">
        <v>41204</v>
      </c>
      <c r="J376" s="2">
        <v>168510</v>
      </c>
      <c r="K376" s="3">
        <v>0.28999999999999998</v>
      </c>
      <c r="L376" t="s">
        <v>19</v>
      </c>
      <c r="M376" t="s">
        <v>63</v>
      </c>
      <c r="N376" s="1" t="s">
        <v>21</v>
      </c>
      <c r="O376" s="1" t="str">
        <f>IF(OR(TBL_Employees[[#This Row],[Exit Date]],FALSE),"Left employees", "Current employees")</f>
        <v>Current employees</v>
      </c>
    </row>
    <row r="377" spans="1:15" x14ac:dyDescent="0.35">
      <c r="A377" t="s">
        <v>1007</v>
      </c>
      <c r="B377" t="s">
        <v>1008</v>
      </c>
      <c r="C377" t="s">
        <v>129</v>
      </c>
      <c r="D377" t="s">
        <v>31</v>
      </c>
      <c r="E377" t="s">
        <v>44</v>
      </c>
      <c r="F377" t="s">
        <v>17</v>
      </c>
      <c r="G377" t="s">
        <v>51</v>
      </c>
      <c r="H377">
        <v>36</v>
      </c>
      <c r="I377" s="1">
        <v>42443</v>
      </c>
      <c r="J377" s="2">
        <v>85870</v>
      </c>
      <c r="K377" s="3">
        <v>0</v>
      </c>
      <c r="L377" t="s">
        <v>52</v>
      </c>
      <c r="M377" t="s">
        <v>53</v>
      </c>
      <c r="N377" s="1" t="s">
        <v>21</v>
      </c>
      <c r="O377" s="1" t="str">
        <f>IF(OR(TBL_Employees[[#This Row],[Exit Date]],FALSE),"Left employees", "Current employees")</f>
        <v>Current employees</v>
      </c>
    </row>
    <row r="378" spans="1:15" x14ac:dyDescent="0.35">
      <c r="A378" t="s">
        <v>232</v>
      </c>
      <c r="B378" t="s">
        <v>1009</v>
      </c>
      <c r="C378" t="s">
        <v>42</v>
      </c>
      <c r="D378" t="s">
        <v>43</v>
      </c>
      <c r="E378" t="s">
        <v>32</v>
      </c>
      <c r="F378" t="s">
        <v>17</v>
      </c>
      <c r="G378" t="s">
        <v>24</v>
      </c>
      <c r="H378">
        <v>46</v>
      </c>
      <c r="I378" s="1">
        <v>37271</v>
      </c>
      <c r="J378" s="2">
        <v>86510</v>
      </c>
      <c r="K378" s="3">
        <v>0</v>
      </c>
      <c r="L378" t="s">
        <v>33</v>
      </c>
      <c r="M378" t="s">
        <v>60</v>
      </c>
      <c r="N378" s="1">
        <v>37623</v>
      </c>
      <c r="O378" s="1" t="str">
        <f>IF(OR(TBL_Employees[[#This Row],[Exit Date]],FALSE),"Left employees", "Current employees")</f>
        <v>Left employees</v>
      </c>
    </row>
    <row r="379" spans="1:15" x14ac:dyDescent="0.35">
      <c r="A379" t="s">
        <v>1010</v>
      </c>
      <c r="B379" t="s">
        <v>1011</v>
      </c>
      <c r="C379" t="s">
        <v>62</v>
      </c>
      <c r="D379" t="s">
        <v>50</v>
      </c>
      <c r="E379" t="s">
        <v>44</v>
      </c>
      <c r="F379" t="s">
        <v>17</v>
      </c>
      <c r="G379" t="s">
        <v>51</v>
      </c>
      <c r="H379">
        <v>38</v>
      </c>
      <c r="I379" s="1">
        <v>42999</v>
      </c>
      <c r="J379" s="2">
        <v>119647</v>
      </c>
      <c r="K379" s="3">
        <v>0.09</v>
      </c>
      <c r="L379" t="s">
        <v>52</v>
      </c>
      <c r="M379" t="s">
        <v>53</v>
      </c>
      <c r="N379" s="1" t="s">
        <v>21</v>
      </c>
      <c r="O379" s="1" t="str">
        <f>IF(OR(TBL_Employees[[#This Row],[Exit Date]],FALSE),"Left employees", "Current employees")</f>
        <v>Current employees</v>
      </c>
    </row>
    <row r="380" spans="1:15" x14ac:dyDescent="0.35">
      <c r="A380" t="s">
        <v>234</v>
      </c>
      <c r="B380" t="s">
        <v>1012</v>
      </c>
      <c r="C380" t="s">
        <v>26</v>
      </c>
      <c r="D380" t="s">
        <v>27</v>
      </c>
      <c r="E380" t="s">
        <v>16</v>
      </c>
      <c r="F380" t="s">
        <v>28</v>
      </c>
      <c r="G380" t="s">
        <v>18</v>
      </c>
      <c r="H380">
        <v>62</v>
      </c>
      <c r="I380" s="1">
        <v>36996</v>
      </c>
      <c r="J380" s="2">
        <v>80921</v>
      </c>
      <c r="K380" s="3">
        <v>0</v>
      </c>
      <c r="L380" t="s">
        <v>19</v>
      </c>
      <c r="M380" t="s">
        <v>29</v>
      </c>
      <c r="N380" s="1" t="s">
        <v>21</v>
      </c>
      <c r="O380" s="1" t="str">
        <f>IF(OR(TBL_Employees[[#This Row],[Exit Date]],FALSE),"Left employees", "Current employees")</f>
        <v>Current employees</v>
      </c>
    </row>
    <row r="381" spans="1:15" x14ac:dyDescent="0.35">
      <c r="A381" t="s">
        <v>1013</v>
      </c>
      <c r="B381" t="s">
        <v>1014</v>
      </c>
      <c r="C381" t="s">
        <v>97</v>
      </c>
      <c r="D381" t="s">
        <v>31</v>
      </c>
      <c r="E381" t="s">
        <v>16</v>
      </c>
      <c r="F381" t="s">
        <v>17</v>
      </c>
      <c r="G381" t="s">
        <v>18</v>
      </c>
      <c r="H381">
        <v>61</v>
      </c>
      <c r="I381" s="1">
        <v>40193</v>
      </c>
      <c r="J381" s="2">
        <v>98110</v>
      </c>
      <c r="K381" s="3">
        <v>0.13</v>
      </c>
      <c r="L381" t="s">
        <v>19</v>
      </c>
      <c r="M381" t="s">
        <v>20</v>
      </c>
      <c r="N381" s="1" t="s">
        <v>21</v>
      </c>
      <c r="O381" s="1" t="str">
        <f>IF(OR(TBL_Employees[[#This Row],[Exit Date]],FALSE),"Left employees", "Current employees")</f>
        <v>Current employees</v>
      </c>
    </row>
    <row r="382" spans="1:15" x14ac:dyDescent="0.35">
      <c r="A382" t="s">
        <v>393</v>
      </c>
      <c r="B382" t="s">
        <v>1015</v>
      </c>
      <c r="C382" t="s">
        <v>71</v>
      </c>
      <c r="D382" t="s">
        <v>27</v>
      </c>
      <c r="E382" t="s">
        <v>44</v>
      </c>
      <c r="F382" t="s">
        <v>17</v>
      </c>
      <c r="G382" t="s">
        <v>18</v>
      </c>
      <c r="H382">
        <v>59</v>
      </c>
      <c r="I382" s="1">
        <v>43028</v>
      </c>
      <c r="J382" s="2">
        <v>86831</v>
      </c>
      <c r="K382" s="3">
        <v>0</v>
      </c>
      <c r="L382" t="s">
        <v>19</v>
      </c>
      <c r="M382" t="s">
        <v>39</v>
      </c>
      <c r="N382" s="1" t="s">
        <v>21</v>
      </c>
      <c r="O382" s="1" t="str">
        <f>IF(OR(TBL_Employees[[#This Row],[Exit Date]],FALSE),"Left employees", "Current employees")</f>
        <v>Current employees</v>
      </c>
    </row>
    <row r="383" spans="1:15" x14ac:dyDescent="0.35">
      <c r="A383" t="s">
        <v>1016</v>
      </c>
      <c r="B383" t="s">
        <v>1017</v>
      </c>
      <c r="C383" t="s">
        <v>55</v>
      </c>
      <c r="D383" t="s">
        <v>27</v>
      </c>
      <c r="E383" t="s">
        <v>44</v>
      </c>
      <c r="F383" t="s">
        <v>17</v>
      </c>
      <c r="G383" t="s">
        <v>24</v>
      </c>
      <c r="H383">
        <v>49</v>
      </c>
      <c r="I383" s="1">
        <v>40431</v>
      </c>
      <c r="J383" s="2">
        <v>72826</v>
      </c>
      <c r="K383" s="3">
        <v>0</v>
      </c>
      <c r="L383" t="s">
        <v>33</v>
      </c>
      <c r="M383" t="s">
        <v>60</v>
      </c>
      <c r="N383" s="1" t="s">
        <v>21</v>
      </c>
      <c r="O383" s="1" t="str">
        <f>IF(OR(TBL_Employees[[#This Row],[Exit Date]],FALSE),"Left employees", "Current employees")</f>
        <v>Current employees</v>
      </c>
    </row>
    <row r="384" spans="1:15" x14ac:dyDescent="0.35">
      <c r="A384" t="s">
        <v>1018</v>
      </c>
      <c r="B384" t="s">
        <v>1019</v>
      </c>
      <c r="C384" t="s">
        <v>40</v>
      </c>
      <c r="D384" t="s">
        <v>43</v>
      </c>
      <c r="E384" t="s">
        <v>36</v>
      </c>
      <c r="F384" t="s">
        <v>17</v>
      </c>
      <c r="G384" t="s">
        <v>24</v>
      </c>
      <c r="H384">
        <v>64</v>
      </c>
      <c r="I384" s="1">
        <v>40588</v>
      </c>
      <c r="J384" s="2">
        <v>171217</v>
      </c>
      <c r="K384" s="3">
        <v>0.19</v>
      </c>
      <c r="L384" t="s">
        <v>19</v>
      </c>
      <c r="M384" t="s">
        <v>63</v>
      </c>
      <c r="N384" s="1" t="s">
        <v>21</v>
      </c>
      <c r="O384" s="1" t="str">
        <f>IF(OR(TBL_Employees[[#This Row],[Exit Date]],FALSE),"Left employees", "Current employees")</f>
        <v>Current employees</v>
      </c>
    </row>
    <row r="385" spans="1:15" x14ac:dyDescent="0.35">
      <c r="A385" t="s">
        <v>1020</v>
      </c>
      <c r="B385" t="s">
        <v>1021</v>
      </c>
      <c r="C385" t="s">
        <v>62</v>
      </c>
      <c r="D385" t="s">
        <v>27</v>
      </c>
      <c r="E385" t="s">
        <v>16</v>
      </c>
      <c r="F385" t="s">
        <v>17</v>
      </c>
      <c r="G385" t="s">
        <v>18</v>
      </c>
      <c r="H385">
        <v>57</v>
      </c>
      <c r="I385" s="1">
        <v>43948</v>
      </c>
      <c r="J385" s="2">
        <v>103058</v>
      </c>
      <c r="K385" s="3">
        <v>7.0000000000000007E-2</v>
      </c>
      <c r="L385" t="s">
        <v>19</v>
      </c>
      <c r="M385" t="s">
        <v>29</v>
      </c>
      <c r="N385" s="1" t="s">
        <v>21</v>
      </c>
      <c r="O385" s="1" t="str">
        <f>IF(OR(TBL_Employees[[#This Row],[Exit Date]],FALSE),"Left employees", "Current employees")</f>
        <v>Current employees</v>
      </c>
    </row>
    <row r="386" spans="1:15" x14ac:dyDescent="0.35">
      <c r="A386" t="s">
        <v>1022</v>
      </c>
      <c r="B386" t="s">
        <v>1023</v>
      </c>
      <c r="C386" t="s">
        <v>62</v>
      </c>
      <c r="D386" t="s">
        <v>50</v>
      </c>
      <c r="E386" t="s">
        <v>44</v>
      </c>
      <c r="F386" t="s">
        <v>28</v>
      </c>
      <c r="G386" t="s">
        <v>24</v>
      </c>
      <c r="H386">
        <v>52</v>
      </c>
      <c r="I386" s="1">
        <v>41858</v>
      </c>
      <c r="J386" s="2">
        <v>117062</v>
      </c>
      <c r="K386" s="3">
        <v>7.0000000000000007E-2</v>
      </c>
      <c r="L386" t="s">
        <v>19</v>
      </c>
      <c r="M386" t="s">
        <v>39</v>
      </c>
      <c r="N386" s="1" t="s">
        <v>21</v>
      </c>
      <c r="O386" s="1" t="str">
        <f>IF(OR(TBL_Employees[[#This Row],[Exit Date]],FALSE),"Left employees", "Current employees")</f>
        <v>Current employees</v>
      </c>
    </row>
    <row r="387" spans="1:15" x14ac:dyDescent="0.35">
      <c r="A387" t="s">
        <v>1024</v>
      </c>
      <c r="B387" t="s">
        <v>1025</v>
      </c>
      <c r="C387" t="s">
        <v>61</v>
      </c>
      <c r="D387" t="s">
        <v>65</v>
      </c>
      <c r="E387" t="s">
        <v>44</v>
      </c>
      <c r="F387" t="s">
        <v>28</v>
      </c>
      <c r="G387" t="s">
        <v>51</v>
      </c>
      <c r="H387">
        <v>40</v>
      </c>
      <c r="I387" s="1">
        <v>43488</v>
      </c>
      <c r="J387" s="2">
        <v>159031</v>
      </c>
      <c r="K387" s="3">
        <v>0.1</v>
      </c>
      <c r="L387" t="s">
        <v>19</v>
      </c>
      <c r="M387" t="s">
        <v>45</v>
      </c>
      <c r="N387" s="1" t="s">
        <v>21</v>
      </c>
      <c r="O387" s="1" t="str">
        <f>IF(OR(TBL_Employees[[#This Row],[Exit Date]],FALSE),"Left employees", "Current employees")</f>
        <v>Current employees</v>
      </c>
    </row>
    <row r="388" spans="1:15" x14ac:dyDescent="0.35">
      <c r="A388" t="s">
        <v>324</v>
      </c>
      <c r="B388" t="s">
        <v>1026</v>
      </c>
      <c r="C388" t="s">
        <v>61</v>
      </c>
      <c r="D388" t="s">
        <v>27</v>
      </c>
      <c r="E388" t="s">
        <v>16</v>
      </c>
      <c r="F388" t="s">
        <v>17</v>
      </c>
      <c r="G388" t="s">
        <v>51</v>
      </c>
      <c r="H388">
        <v>49</v>
      </c>
      <c r="I388" s="1">
        <v>38000</v>
      </c>
      <c r="J388" s="2">
        <v>125086</v>
      </c>
      <c r="K388" s="3">
        <v>0.1</v>
      </c>
      <c r="L388" t="s">
        <v>52</v>
      </c>
      <c r="M388" t="s">
        <v>53</v>
      </c>
      <c r="N388" s="1" t="s">
        <v>21</v>
      </c>
      <c r="O388" s="1" t="str">
        <f>IF(OR(TBL_Employees[[#This Row],[Exit Date]],FALSE),"Left employees", "Current employees")</f>
        <v>Current employees</v>
      </c>
    </row>
    <row r="389" spans="1:15" x14ac:dyDescent="0.35">
      <c r="A389" t="s">
        <v>310</v>
      </c>
      <c r="B389" t="s">
        <v>1027</v>
      </c>
      <c r="C389" t="s">
        <v>98</v>
      </c>
      <c r="D389" t="s">
        <v>27</v>
      </c>
      <c r="E389" t="s">
        <v>44</v>
      </c>
      <c r="F389" t="s">
        <v>28</v>
      </c>
      <c r="G389" t="s">
        <v>18</v>
      </c>
      <c r="H389">
        <v>43</v>
      </c>
      <c r="I389" s="1">
        <v>42467</v>
      </c>
      <c r="J389" s="2">
        <v>67976</v>
      </c>
      <c r="K389" s="3">
        <v>0</v>
      </c>
      <c r="L389" t="s">
        <v>19</v>
      </c>
      <c r="M389" t="s">
        <v>63</v>
      </c>
      <c r="N389" s="1" t="s">
        <v>21</v>
      </c>
      <c r="O389" s="1" t="str">
        <f>IF(OR(TBL_Employees[[#This Row],[Exit Date]],FALSE),"Left employees", "Current employees")</f>
        <v>Current employees</v>
      </c>
    </row>
    <row r="390" spans="1:15" x14ac:dyDescent="0.35">
      <c r="A390" t="s">
        <v>1028</v>
      </c>
      <c r="B390" t="s">
        <v>1029</v>
      </c>
      <c r="C390" t="s">
        <v>64</v>
      </c>
      <c r="D390" t="s">
        <v>15</v>
      </c>
      <c r="E390" t="s">
        <v>44</v>
      </c>
      <c r="F390" t="s">
        <v>28</v>
      </c>
      <c r="G390" t="s">
        <v>18</v>
      </c>
      <c r="H390">
        <v>31</v>
      </c>
      <c r="I390" s="1">
        <v>44308</v>
      </c>
      <c r="J390" s="2">
        <v>74215</v>
      </c>
      <c r="K390" s="3">
        <v>0</v>
      </c>
      <c r="L390" t="s">
        <v>19</v>
      </c>
      <c r="M390" t="s">
        <v>39</v>
      </c>
      <c r="N390" s="1" t="s">
        <v>21</v>
      </c>
      <c r="O390" s="1" t="str">
        <f>IF(OR(TBL_Employees[[#This Row],[Exit Date]],FALSE),"Left employees", "Current employees")</f>
        <v>Current employees</v>
      </c>
    </row>
    <row r="391" spans="1:15" x14ac:dyDescent="0.35">
      <c r="A391" t="s">
        <v>1030</v>
      </c>
      <c r="B391" t="s">
        <v>1031</v>
      </c>
      <c r="C391" t="s">
        <v>40</v>
      </c>
      <c r="D391" t="s">
        <v>65</v>
      </c>
      <c r="E391" t="s">
        <v>36</v>
      </c>
      <c r="F391" t="s">
        <v>28</v>
      </c>
      <c r="G391" t="s">
        <v>24</v>
      </c>
      <c r="H391">
        <v>55</v>
      </c>
      <c r="I391" s="1">
        <v>40340</v>
      </c>
      <c r="J391" s="2">
        <v>187389</v>
      </c>
      <c r="K391" s="3">
        <v>0.25</v>
      </c>
      <c r="L391" t="s">
        <v>33</v>
      </c>
      <c r="M391" t="s">
        <v>34</v>
      </c>
      <c r="N391" s="1" t="s">
        <v>21</v>
      </c>
      <c r="O391" s="1" t="str">
        <f>IF(OR(TBL_Employees[[#This Row],[Exit Date]],FALSE),"Left employees", "Current employees")</f>
        <v>Current employees</v>
      </c>
    </row>
    <row r="392" spans="1:15" x14ac:dyDescent="0.35">
      <c r="A392" t="s">
        <v>878</v>
      </c>
      <c r="B392" t="s">
        <v>1032</v>
      </c>
      <c r="C392" t="s">
        <v>61</v>
      </c>
      <c r="D392" t="s">
        <v>23</v>
      </c>
      <c r="E392" t="s">
        <v>44</v>
      </c>
      <c r="F392" t="s">
        <v>17</v>
      </c>
      <c r="G392" t="s">
        <v>18</v>
      </c>
      <c r="H392">
        <v>41</v>
      </c>
      <c r="I392" s="1">
        <v>39747</v>
      </c>
      <c r="J392" s="2">
        <v>131841</v>
      </c>
      <c r="K392" s="3">
        <v>0.13</v>
      </c>
      <c r="L392" t="s">
        <v>19</v>
      </c>
      <c r="M392" t="s">
        <v>29</v>
      </c>
      <c r="N392" s="1" t="s">
        <v>21</v>
      </c>
      <c r="O392" s="1" t="str">
        <f>IF(OR(TBL_Employees[[#This Row],[Exit Date]],FALSE),"Left employees", "Current employees")</f>
        <v>Current employees</v>
      </c>
    </row>
    <row r="393" spans="1:15" x14ac:dyDescent="0.35">
      <c r="A393" t="s">
        <v>105</v>
      </c>
      <c r="B393" t="s">
        <v>1033</v>
      </c>
      <c r="C393" t="s">
        <v>42</v>
      </c>
      <c r="D393" t="s">
        <v>65</v>
      </c>
      <c r="E393" t="s">
        <v>16</v>
      </c>
      <c r="F393" t="s">
        <v>28</v>
      </c>
      <c r="G393" t="s">
        <v>24</v>
      </c>
      <c r="H393">
        <v>34</v>
      </c>
      <c r="I393" s="1">
        <v>40750</v>
      </c>
      <c r="J393" s="2">
        <v>97231</v>
      </c>
      <c r="K393" s="3">
        <v>0</v>
      </c>
      <c r="L393" t="s">
        <v>33</v>
      </c>
      <c r="M393" t="s">
        <v>60</v>
      </c>
      <c r="N393" s="1" t="s">
        <v>21</v>
      </c>
      <c r="O393" s="1" t="str">
        <f>IF(OR(TBL_Employees[[#This Row],[Exit Date]],FALSE),"Left employees", "Current employees")</f>
        <v>Current employees</v>
      </c>
    </row>
    <row r="394" spans="1:15" x14ac:dyDescent="0.35">
      <c r="A394" t="s">
        <v>114</v>
      </c>
      <c r="B394" t="s">
        <v>1034</v>
      </c>
      <c r="C394" t="s">
        <v>61</v>
      </c>
      <c r="D394" t="s">
        <v>15</v>
      </c>
      <c r="E394" t="s">
        <v>32</v>
      </c>
      <c r="F394" t="s">
        <v>17</v>
      </c>
      <c r="G394" t="s">
        <v>24</v>
      </c>
      <c r="H394">
        <v>41</v>
      </c>
      <c r="I394" s="1">
        <v>38060</v>
      </c>
      <c r="J394" s="2">
        <v>155004</v>
      </c>
      <c r="K394" s="3">
        <v>0.12</v>
      </c>
      <c r="L394" t="s">
        <v>19</v>
      </c>
      <c r="M394" t="s">
        <v>25</v>
      </c>
      <c r="N394" s="1" t="s">
        <v>21</v>
      </c>
      <c r="O394" s="1" t="str">
        <f>IF(OR(TBL_Employees[[#This Row],[Exit Date]],FALSE),"Left employees", "Current employees")</f>
        <v>Current employees</v>
      </c>
    </row>
    <row r="395" spans="1:15" x14ac:dyDescent="0.35">
      <c r="A395" t="s">
        <v>1035</v>
      </c>
      <c r="B395" t="s">
        <v>1036</v>
      </c>
      <c r="C395" t="s">
        <v>76</v>
      </c>
      <c r="D395" t="s">
        <v>27</v>
      </c>
      <c r="E395" t="s">
        <v>36</v>
      </c>
      <c r="F395" t="s">
        <v>28</v>
      </c>
      <c r="G395" t="s">
        <v>24</v>
      </c>
      <c r="H395">
        <v>40</v>
      </c>
      <c r="I395" s="1">
        <v>39293</v>
      </c>
      <c r="J395" s="2">
        <v>41859</v>
      </c>
      <c r="K395" s="3">
        <v>0</v>
      </c>
      <c r="L395" t="s">
        <v>19</v>
      </c>
      <c r="M395" t="s">
        <v>63</v>
      </c>
      <c r="N395" s="1" t="s">
        <v>21</v>
      </c>
      <c r="O395" s="1" t="str">
        <f>IF(OR(TBL_Employees[[#This Row],[Exit Date]],FALSE),"Left employees", "Current employees")</f>
        <v>Current employees</v>
      </c>
    </row>
    <row r="396" spans="1:15" x14ac:dyDescent="0.35">
      <c r="A396" t="s">
        <v>1037</v>
      </c>
      <c r="B396" t="s">
        <v>1038</v>
      </c>
      <c r="C396" t="s">
        <v>73</v>
      </c>
      <c r="D396" t="s">
        <v>27</v>
      </c>
      <c r="E396" t="s">
        <v>36</v>
      </c>
      <c r="F396" t="s">
        <v>28</v>
      </c>
      <c r="G396" t="s">
        <v>47</v>
      </c>
      <c r="H396">
        <v>42</v>
      </c>
      <c r="I396" s="1">
        <v>38984</v>
      </c>
      <c r="J396" s="2">
        <v>52733</v>
      </c>
      <c r="K396" s="3">
        <v>0</v>
      </c>
      <c r="L396" t="s">
        <v>19</v>
      </c>
      <c r="M396" t="s">
        <v>20</v>
      </c>
      <c r="N396" s="1" t="s">
        <v>21</v>
      </c>
      <c r="O396" s="1" t="str">
        <f>IF(OR(TBL_Employees[[#This Row],[Exit Date]],FALSE),"Left employees", "Current employees")</f>
        <v>Current employees</v>
      </c>
    </row>
    <row r="397" spans="1:15" x14ac:dyDescent="0.35">
      <c r="A397" t="s">
        <v>1039</v>
      </c>
      <c r="B397" t="s">
        <v>1040</v>
      </c>
      <c r="C397" t="s">
        <v>14</v>
      </c>
      <c r="D397" t="s">
        <v>23</v>
      </c>
      <c r="E397" t="s">
        <v>32</v>
      </c>
      <c r="F397" t="s">
        <v>28</v>
      </c>
      <c r="G397" t="s">
        <v>24</v>
      </c>
      <c r="H397">
        <v>31</v>
      </c>
      <c r="I397" s="1">
        <v>42250</v>
      </c>
      <c r="J397" s="2">
        <v>250953</v>
      </c>
      <c r="K397" s="3">
        <v>0.34</v>
      </c>
      <c r="L397" t="s">
        <v>19</v>
      </c>
      <c r="M397" t="s">
        <v>29</v>
      </c>
      <c r="N397" s="1" t="s">
        <v>21</v>
      </c>
      <c r="O397" s="1" t="str">
        <f>IF(OR(TBL_Employees[[#This Row],[Exit Date]],FALSE),"Left employees", "Current employees")</f>
        <v>Current employees</v>
      </c>
    </row>
    <row r="398" spans="1:15" x14ac:dyDescent="0.35">
      <c r="A398" t="s">
        <v>1041</v>
      </c>
      <c r="B398" t="s">
        <v>1042</v>
      </c>
      <c r="C398" t="s">
        <v>40</v>
      </c>
      <c r="D398" t="s">
        <v>43</v>
      </c>
      <c r="E398" t="s">
        <v>16</v>
      </c>
      <c r="F398" t="s">
        <v>28</v>
      </c>
      <c r="G398" t="s">
        <v>24</v>
      </c>
      <c r="H398">
        <v>49</v>
      </c>
      <c r="I398" s="1">
        <v>36210</v>
      </c>
      <c r="J398" s="2">
        <v>191807</v>
      </c>
      <c r="K398" s="3">
        <v>0.21</v>
      </c>
      <c r="L398" t="s">
        <v>33</v>
      </c>
      <c r="M398" t="s">
        <v>80</v>
      </c>
      <c r="N398" s="1" t="s">
        <v>21</v>
      </c>
      <c r="O398" s="1" t="str">
        <f>IF(OR(TBL_Employees[[#This Row],[Exit Date]],FALSE),"Left employees", "Current employees")</f>
        <v>Current employees</v>
      </c>
    </row>
    <row r="399" spans="1:15" x14ac:dyDescent="0.35">
      <c r="A399" t="s">
        <v>1043</v>
      </c>
      <c r="B399" t="s">
        <v>1044</v>
      </c>
      <c r="C399" t="s">
        <v>55</v>
      </c>
      <c r="D399" t="s">
        <v>27</v>
      </c>
      <c r="E399" t="s">
        <v>44</v>
      </c>
      <c r="F399" t="s">
        <v>28</v>
      </c>
      <c r="G399" t="s">
        <v>24</v>
      </c>
      <c r="H399">
        <v>42</v>
      </c>
      <c r="I399" s="1">
        <v>41813</v>
      </c>
      <c r="J399" s="2">
        <v>64677</v>
      </c>
      <c r="K399" s="3">
        <v>0</v>
      </c>
      <c r="L399" t="s">
        <v>33</v>
      </c>
      <c r="M399" t="s">
        <v>80</v>
      </c>
      <c r="N399" s="1" t="s">
        <v>21</v>
      </c>
      <c r="O399" s="1" t="str">
        <f>IF(OR(TBL_Employees[[#This Row],[Exit Date]],FALSE),"Left employees", "Current employees")</f>
        <v>Current employees</v>
      </c>
    </row>
    <row r="400" spans="1:15" x14ac:dyDescent="0.35">
      <c r="A400" t="s">
        <v>681</v>
      </c>
      <c r="B400" t="s">
        <v>1045</v>
      </c>
      <c r="C400" t="s">
        <v>61</v>
      </c>
      <c r="D400" t="s">
        <v>27</v>
      </c>
      <c r="E400" t="s">
        <v>32</v>
      </c>
      <c r="F400" t="s">
        <v>28</v>
      </c>
      <c r="G400" t="s">
        <v>18</v>
      </c>
      <c r="H400">
        <v>46</v>
      </c>
      <c r="I400" s="1">
        <v>38244</v>
      </c>
      <c r="J400" s="2">
        <v>130274</v>
      </c>
      <c r="K400" s="3">
        <v>0.11</v>
      </c>
      <c r="L400" t="s">
        <v>19</v>
      </c>
      <c r="M400" t="s">
        <v>20</v>
      </c>
      <c r="N400" s="1" t="s">
        <v>21</v>
      </c>
      <c r="O400" s="1" t="str">
        <f>IF(OR(TBL_Employees[[#This Row],[Exit Date]],FALSE),"Left employees", "Current employees")</f>
        <v>Current employees</v>
      </c>
    </row>
    <row r="401" spans="1:15" x14ac:dyDescent="0.35">
      <c r="A401" t="s">
        <v>1046</v>
      </c>
      <c r="B401" t="s">
        <v>1047</v>
      </c>
      <c r="C401" t="s">
        <v>71</v>
      </c>
      <c r="D401" t="s">
        <v>27</v>
      </c>
      <c r="E401" t="s">
        <v>16</v>
      </c>
      <c r="F401" t="s">
        <v>28</v>
      </c>
      <c r="G401" t="s">
        <v>24</v>
      </c>
      <c r="H401">
        <v>37</v>
      </c>
      <c r="I401" s="1">
        <v>42922</v>
      </c>
      <c r="J401" s="2">
        <v>96331</v>
      </c>
      <c r="K401" s="3">
        <v>0</v>
      </c>
      <c r="L401" t="s">
        <v>33</v>
      </c>
      <c r="M401" t="s">
        <v>74</v>
      </c>
      <c r="N401" s="1" t="s">
        <v>21</v>
      </c>
      <c r="O401" s="1" t="str">
        <f>IF(OR(TBL_Employees[[#This Row],[Exit Date]],FALSE),"Left employees", "Current employees")</f>
        <v>Current employees</v>
      </c>
    </row>
    <row r="402" spans="1:15" x14ac:dyDescent="0.35">
      <c r="A402" t="s">
        <v>1048</v>
      </c>
      <c r="B402" t="s">
        <v>1049</v>
      </c>
      <c r="C402" t="s">
        <v>61</v>
      </c>
      <c r="D402" t="s">
        <v>15</v>
      </c>
      <c r="E402" t="s">
        <v>16</v>
      </c>
      <c r="F402" t="s">
        <v>17</v>
      </c>
      <c r="G402" t="s">
        <v>18</v>
      </c>
      <c r="H402">
        <v>51</v>
      </c>
      <c r="I402" s="1">
        <v>38835</v>
      </c>
      <c r="J402" s="2">
        <v>150758</v>
      </c>
      <c r="K402" s="3">
        <v>0.13</v>
      </c>
      <c r="L402" t="s">
        <v>19</v>
      </c>
      <c r="M402" t="s">
        <v>20</v>
      </c>
      <c r="N402" s="1">
        <v>39310</v>
      </c>
      <c r="O402" s="1" t="str">
        <f>IF(OR(TBL_Employees[[#This Row],[Exit Date]],FALSE),"Left employees", "Current employees")</f>
        <v>Left employees</v>
      </c>
    </row>
    <row r="403" spans="1:15" x14ac:dyDescent="0.35">
      <c r="A403" t="s">
        <v>347</v>
      </c>
      <c r="B403" t="s">
        <v>1050</v>
      </c>
      <c r="C403" t="s">
        <v>40</v>
      </c>
      <c r="D403" t="s">
        <v>31</v>
      </c>
      <c r="E403" t="s">
        <v>32</v>
      </c>
      <c r="F403" t="s">
        <v>28</v>
      </c>
      <c r="G403" t="s">
        <v>51</v>
      </c>
      <c r="H403">
        <v>46</v>
      </c>
      <c r="I403" s="1">
        <v>41839</v>
      </c>
      <c r="J403" s="2">
        <v>173629</v>
      </c>
      <c r="K403" s="3">
        <v>0.21</v>
      </c>
      <c r="L403" t="s">
        <v>52</v>
      </c>
      <c r="M403" t="s">
        <v>53</v>
      </c>
      <c r="N403" s="1" t="s">
        <v>21</v>
      </c>
      <c r="O403" s="1" t="str">
        <f>IF(OR(TBL_Employees[[#This Row],[Exit Date]],FALSE),"Left employees", "Current employees")</f>
        <v>Current employees</v>
      </c>
    </row>
    <row r="404" spans="1:15" x14ac:dyDescent="0.35">
      <c r="A404" t="s">
        <v>1051</v>
      </c>
      <c r="B404" t="s">
        <v>1052</v>
      </c>
      <c r="C404" t="s">
        <v>88</v>
      </c>
      <c r="D404" t="s">
        <v>27</v>
      </c>
      <c r="E404" t="s">
        <v>32</v>
      </c>
      <c r="F404" t="s">
        <v>28</v>
      </c>
      <c r="G404" t="s">
        <v>47</v>
      </c>
      <c r="H404">
        <v>55</v>
      </c>
      <c r="I404" s="1">
        <v>35919</v>
      </c>
      <c r="J404" s="2">
        <v>62174</v>
      </c>
      <c r="K404" s="3">
        <v>0</v>
      </c>
      <c r="L404" t="s">
        <v>19</v>
      </c>
      <c r="M404" t="s">
        <v>20</v>
      </c>
      <c r="N404" s="1" t="s">
        <v>21</v>
      </c>
      <c r="O404" s="1" t="str">
        <f>IF(OR(TBL_Employees[[#This Row],[Exit Date]],FALSE),"Left employees", "Current employees")</f>
        <v>Current employees</v>
      </c>
    </row>
    <row r="405" spans="1:15" x14ac:dyDescent="0.35">
      <c r="A405" t="s">
        <v>1053</v>
      </c>
      <c r="B405" t="s">
        <v>1054</v>
      </c>
      <c r="C405" t="s">
        <v>64</v>
      </c>
      <c r="D405" t="s">
        <v>65</v>
      </c>
      <c r="E405" t="s">
        <v>36</v>
      </c>
      <c r="F405" t="s">
        <v>28</v>
      </c>
      <c r="G405" t="s">
        <v>18</v>
      </c>
      <c r="H405">
        <v>43</v>
      </c>
      <c r="I405" s="1">
        <v>43028</v>
      </c>
      <c r="J405" s="2">
        <v>56555</v>
      </c>
      <c r="K405" s="3">
        <v>0</v>
      </c>
      <c r="L405" t="s">
        <v>19</v>
      </c>
      <c r="M405" t="s">
        <v>39</v>
      </c>
      <c r="N405" s="1" t="s">
        <v>21</v>
      </c>
      <c r="O405" s="1" t="str">
        <f>IF(OR(TBL_Employees[[#This Row],[Exit Date]],FALSE),"Left employees", "Current employees")</f>
        <v>Current employees</v>
      </c>
    </row>
    <row r="406" spans="1:15" x14ac:dyDescent="0.35">
      <c r="A406" t="s">
        <v>1055</v>
      </c>
      <c r="B406" t="s">
        <v>1056</v>
      </c>
      <c r="C406" t="s">
        <v>64</v>
      </c>
      <c r="D406" t="s">
        <v>43</v>
      </c>
      <c r="E406" t="s">
        <v>36</v>
      </c>
      <c r="F406" t="s">
        <v>28</v>
      </c>
      <c r="G406" t="s">
        <v>18</v>
      </c>
      <c r="H406">
        <v>48</v>
      </c>
      <c r="I406" s="1">
        <v>38623</v>
      </c>
      <c r="J406" s="2">
        <v>74655</v>
      </c>
      <c r="K406" s="3">
        <v>0</v>
      </c>
      <c r="L406" t="s">
        <v>19</v>
      </c>
      <c r="M406" t="s">
        <v>25</v>
      </c>
      <c r="N406" s="1" t="s">
        <v>21</v>
      </c>
      <c r="O406" s="1" t="str">
        <f>IF(OR(TBL_Employees[[#This Row],[Exit Date]],FALSE),"Left employees", "Current employees")</f>
        <v>Current employees</v>
      </c>
    </row>
    <row r="407" spans="1:15" x14ac:dyDescent="0.35">
      <c r="A407" t="s">
        <v>180</v>
      </c>
      <c r="B407" t="s">
        <v>147</v>
      </c>
      <c r="C407" t="s">
        <v>98</v>
      </c>
      <c r="D407" t="s">
        <v>27</v>
      </c>
      <c r="E407" t="s">
        <v>32</v>
      </c>
      <c r="F407" t="s">
        <v>28</v>
      </c>
      <c r="G407" t="s">
        <v>18</v>
      </c>
      <c r="H407">
        <v>48</v>
      </c>
      <c r="I407" s="1">
        <v>37844</v>
      </c>
      <c r="J407" s="2">
        <v>93017</v>
      </c>
      <c r="K407" s="3">
        <v>0</v>
      </c>
      <c r="L407" t="s">
        <v>19</v>
      </c>
      <c r="M407" t="s">
        <v>63</v>
      </c>
      <c r="N407" s="1" t="s">
        <v>21</v>
      </c>
      <c r="O407" s="1" t="str">
        <f>IF(OR(TBL_Employees[[#This Row],[Exit Date]],FALSE),"Left employees", "Current employees")</f>
        <v>Current employees</v>
      </c>
    </row>
    <row r="408" spans="1:15" x14ac:dyDescent="0.35">
      <c r="A408" t="s">
        <v>156</v>
      </c>
      <c r="B408" t="s">
        <v>1057</v>
      </c>
      <c r="C408" t="s">
        <v>42</v>
      </c>
      <c r="D408" t="s">
        <v>43</v>
      </c>
      <c r="E408" t="s">
        <v>36</v>
      </c>
      <c r="F408" t="s">
        <v>28</v>
      </c>
      <c r="G408" t="s">
        <v>24</v>
      </c>
      <c r="H408">
        <v>51</v>
      </c>
      <c r="I408" s="1">
        <v>41013</v>
      </c>
      <c r="J408" s="2">
        <v>82300</v>
      </c>
      <c r="K408" s="3">
        <v>0</v>
      </c>
      <c r="L408" t="s">
        <v>33</v>
      </c>
      <c r="M408" t="s">
        <v>34</v>
      </c>
      <c r="N408" s="1" t="s">
        <v>21</v>
      </c>
      <c r="O408" s="1" t="str">
        <f>IF(OR(TBL_Employees[[#This Row],[Exit Date]],FALSE),"Left employees", "Current employees")</f>
        <v>Current employees</v>
      </c>
    </row>
    <row r="409" spans="1:15" x14ac:dyDescent="0.35">
      <c r="A409" t="s">
        <v>1058</v>
      </c>
      <c r="B409" t="s">
        <v>1059</v>
      </c>
      <c r="C409" t="s">
        <v>59</v>
      </c>
      <c r="D409" t="s">
        <v>31</v>
      </c>
      <c r="E409" t="s">
        <v>16</v>
      </c>
      <c r="F409" t="s">
        <v>17</v>
      </c>
      <c r="G409" t="s">
        <v>18</v>
      </c>
      <c r="H409">
        <v>46</v>
      </c>
      <c r="I409" s="1">
        <v>39471</v>
      </c>
      <c r="J409" s="2">
        <v>91621</v>
      </c>
      <c r="K409" s="3">
        <v>0</v>
      </c>
      <c r="L409" t="s">
        <v>19</v>
      </c>
      <c r="M409" t="s">
        <v>20</v>
      </c>
      <c r="N409" s="1" t="s">
        <v>21</v>
      </c>
      <c r="O409" s="1" t="str">
        <f>IF(OR(TBL_Employees[[#This Row],[Exit Date]],FALSE),"Left employees", "Current employees")</f>
        <v>Current employees</v>
      </c>
    </row>
    <row r="410" spans="1:15" x14ac:dyDescent="0.35">
      <c r="A410" t="s">
        <v>1060</v>
      </c>
      <c r="B410" t="s">
        <v>1061</v>
      </c>
      <c r="C410" t="s">
        <v>42</v>
      </c>
      <c r="D410" t="s">
        <v>43</v>
      </c>
      <c r="E410" t="s">
        <v>16</v>
      </c>
      <c r="F410" t="s">
        <v>28</v>
      </c>
      <c r="G410" t="s">
        <v>51</v>
      </c>
      <c r="H410">
        <v>33</v>
      </c>
      <c r="I410" s="1">
        <v>41973</v>
      </c>
      <c r="J410" s="2">
        <v>91280</v>
      </c>
      <c r="K410" s="3">
        <v>0</v>
      </c>
      <c r="L410" t="s">
        <v>19</v>
      </c>
      <c r="M410" t="s">
        <v>45</v>
      </c>
      <c r="N410" s="1" t="s">
        <v>21</v>
      </c>
      <c r="O410" s="1" t="str">
        <f>IF(OR(TBL_Employees[[#This Row],[Exit Date]],FALSE),"Left employees", "Current employees")</f>
        <v>Current employees</v>
      </c>
    </row>
    <row r="411" spans="1:15" x14ac:dyDescent="0.35">
      <c r="A411" t="s">
        <v>95</v>
      </c>
      <c r="B411" t="s">
        <v>1062</v>
      </c>
      <c r="C411" t="s">
        <v>83</v>
      </c>
      <c r="D411" t="s">
        <v>23</v>
      </c>
      <c r="E411" t="s">
        <v>36</v>
      </c>
      <c r="F411" t="s">
        <v>17</v>
      </c>
      <c r="G411" t="s">
        <v>47</v>
      </c>
      <c r="H411">
        <v>42</v>
      </c>
      <c r="I411" s="1">
        <v>44092</v>
      </c>
      <c r="J411" s="2">
        <v>47071</v>
      </c>
      <c r="K411" s="3">
        <v>0</v>
      </c>
      <c r="L411" t="s">
        <v>19</v>
      </c>
      <c r="M411" t="s">
        <v>29</v>
      </c>
      <c r="N411" s="1" t="s">
        <v>21</v>
      </c>
      <c r="O411" s="1" t="str">
        <f>IF(OR(TBL_Employees[[#This Row],[Exit Date]],FALSE),"Left employees", "Current employees")</f>
        <v>Current employees</v>
      </c>
    </row>
    <row r="412" spans="1:15" x14ac:dyDescent="0.35">
      <c r="A412" t="s">
        <v>1063</v>
      </c>
      <c r="B412" t="s">
        <v>1064</v>
      </c>
      <c r="C412" t="s">
        <v>91</v>
      </c>
      <c r="D412" t="s">
        <v>27</v>
      </c>
      <c r="E412" t="s">
        <v>36</v>
      </c>
      <c r="F412" t="s">
        <v>17</v>
      </c>
      <c r="G412" t="s">
        <v>18</v>
      </c>
      <c r="H412">
        <v>55</v>
      </c>
      <c r="I412" s="1">
        <v>40868</v>
      </c>
      <c r="J412" s="2">
        <v>81218</v>
      </c>
      <c r="K412" s="3">
        <v>0</v>
      </c>
      <c r="L412" t="s">
        <v>19</v>
      </c>
      <c r="M412" t="s">
        <v>20</v>
      </c>
      <c r="N412" s="1" t="s">
        <v>21</v>
      </c>
      <c r="O412" s="1" t="str">
        <f>IF(OR(TBL_Employees[[#This Row],[Exit Date]],FALSE),"Left employees", "Current employees")</f>
        <v>Current employees</v>
      </c>
    </row>
    <row r="413" spans="1:15" x14ac:dyDescent="0.35">
      <c r="A413" t="s">
        <v>149</v>
      </c>
      <c r="B413" t="s">
        <v>1065</v>
      </c>
      <c r="C413" t="s">
        <v>14</v>
      </c>
      <c r="D413" t="s">
        <v>31</v>
      </c>
      <c r="E413" t="s">
        <v>36</v>
      </c>
      <c r="F413" t="s">
        <v>17</v>
      </c>
      <c r="G413" t="s">
        <v>24</v>
      </c>
      <c r="H413">
        <v>50</v>
      </c>
      <c r="I413" s="1">
        <v>39734</v>
      </c>
      <c r="J413" s="2">
        <v>181801</v>
      </c>
      <c r="K413" s="3">
        <v>0.4</v>
      </c>
      <c r="L413" t="s">
        <v>33</v>
      </c>
      <c r="M413" t="s">
        <v>80</v>
      </c>
      <c r="N413" s="1">
        <v>43810</v>
      </c>
      <c r="O413" s="1" t="str">
        <f>IF(OR(TBL_Employees[[#This Row],[Exit Date]],FALSE),"Left employees", "Current employees")</f>
        <v>Left employees</v>
      </c>
    </row>
    <row r="414" spans="1:15" x14ac:dyDescent="0.35">
      <c r="A414" t="s">
        <v>1066</v>
      </c>
      <c r="B414" t="s">
        <v>1067</v>
      </c>
      <c r="C414" t="s">
        <v>94</v>
      </c>
      <c r="D414" t="s">
        <v>50</v>
      </c>
      <c r="E414" t="s">
        <v>36</v>
      </c>
      <c r="F414" t="s">
        <v>17</v>
      </c>
      <c r="G414" t="s">
        <v>18</v>
      </c>
      <c r="H414">
        <v>26</v>
      </c>
      <c r="I414" s="1">
        <v>44521</v>
      </c>
      <c r="J414" s="2">
        <v>63137</v>
      </c>
      <c r="K414" s="3">
        <v>0</v>
      </c>
      <c r="L414" t="s">
        <v>19</v>
      </c>
      <c r="M414" t="s">
        <v>20</v>
      </c>
      <c r="N414" s="1" t="s">
        <v>21</v>
      </c>
      <c r="O414" s="1" t="str">
        <f>IF(OR(TBL_Employees[[#This Row],[Exit Date]],FALSE),"Left employees", "Current employees")</f>
        <v>Current employees</v>
      </c>
    </row>
    <row r="415" spans="1:15" x14ac:dyDescent="0.35">
      <c r="A415" t="s">
        <v>1068</v>
      </c>
      <c r="B415" t="s">
        <v>1069</v>
      </c>
      <c r="C415" t="s">
        <v>14</v>
      </c>
      <c r="D415" t="s">
        <v>31</v>
      </c>
      <c r="E415" t="s">
        <v>36</v>
      </c>
      <c r="F415" t="s">
        <v>17</v>
      </c>
      <c r="G415" t="s">
        <v>24</v>
      </c>
      <c r="H415">
        <v>55</v>
      </c>
      <c r="I415" s="1">
        <v>43345</v>
      </c>
      <c r="J415" s="2">
        <v>221465</v>
      </c>
      <c r="K415" s="3">
        <v>0.34</v>
      </c>
      <c r="L415" t="s">
        <v>33</v>
      </c>
      <c r="M415" t="s">
        <v>34</v>
      </c>
      <c r="N415" s="1" t="s">
        <v>21</v>
      </c>
      <c r="O415" s="1" t="str">
        <f>IF(OR(TBL_Employees[[#This Row],[Exit Date]],FALSE),"Left employees", "Current employees")</f>
        <v>Current employees</v>
      </c>
    </row>
    <row r="416" spans="1:15" x14ac:dyDescent="0.35">
      <c r="A416" t="s">
        <v>141</v>
      </c>
      <c r="B416" t="s">
        <v>1070</v>
      </c>
      <c r="C416" t="s">
        <v>30</v>
      </c>
      <c r="D416" t="s">
        <v>31</v>
      </c>
      <c r="E416" t="s">
        <v>16</v>
      </c>
      <c r="F416" t="s">
        <v>17</v>
      </c>
      <c r="G416" t="s">
        <v>24</v>
      </c>
      <c r="H416">
        <v>50</v>
      </c>
      <c r="I416" s="1">
        <v>41404</v>
      </c>
      <c r="J416" s="2">
        <v>79388</v>
      </c>
      <c r="K416" s="3">
        <v>0</v>
      </c>
      <c r="L416" t="s">
        <v>19</v>
      </c>
      <c r="M416" t="s">
        <v>25</v>
      </c>
      <c r="N416" s="1">
        <v>43681</v>
      </c>
      <c r="O416" s="1" t="str">
        <f>IF(OR(TBL_Employees[[#This Row],[Exit Date]],FALSE),"Left employees", "Current employees")</f>
        <v>Left employees</v>
      </c>
    </row>
    <row r="417" spans="1:15" x14ac:dyDescent="0.35">
      <c r="A417" t="s">
        <v>1071</v>
      </c>
      <c r="B417" t="s">
        <v>1072</v>
      </c>
      <c r="C417" t="s">
        <v>88</v>
      </c>
      <c r="D417" t="s">
        <v>27</v>
      </c>
      <c r="E417" t="s">
        <v>36</v>
      </c>
      <c r="F417" t="s">
        <v>17</v>
      </c>
      <c r="G417" t="s">
        <v>18</v>
      </c>
      <c r="H417">
        <v>28</v>
      </c>
      <c r="I417" s="1">
        <v>43122</v>
      </c>
      <c r="J417" s="2">
        <v>68176</v>
      </c>
      <c r="K417" s="3">
        <v>0</v>
      </c>
      <c r="L417" t="s">
        <v>19</v>
      </c>
      <c r="M417" t="s">
        <v>63</v>
      </c>
      <c r="N417" s="1" t="s">
        <v>21</v>
      </c>
      <c r="O417" s="1" t="str">
        <f>IF(OR(TBL_Employees[[#This Row],[Exit Date]],FALSE),"Left employees", "Current employees")</f>
        <v>Current employees</v>
      </c>
    </row>
    <row r="418" spans="1:15" x14ac:dyDescent="0.35">
      <c r="A418" t="s">
        <v>1066</v>
      </c>
      <c r="B418" t="s">
        <v>1073</v>
      </c>
      <c r="C418" t="s">
        <v>61</v>
      </c>
      <c r="D418" t="s">
        <v>15</v>
      </c>
      <c r="E418" t="s">
        <v>16</v>
      </c>
      <c r="F418" t="s">
        <v>17</v>
      </c>
      <c r="G418" t="s">
        <v>51</v>
      </c>
      <c r="H418">
        <v>39</v>
      </c>
      <c r="I418" s="1">
        <v>43756</v>
      </c>
      <c r="J418" s="2">
        <v>122829</v>
      </c>
      <c r="K418" s="3">
        <v>0.11</v>
      </c>
      <c r="L418" t="s">
        <v>19</v>
      </c>
      <c r="M418" t="s">
        <v>20</v>
      </c>
      <c r="N418" s="1" t="s">
        <v>21</v>
      </c>
      <c r="O418" s="1" t="str">
        <f>IF(OR(TBL_Employees[[#This Row],[Exit Date]],FALSE),"Left employees", "Current employees")</f>
        <v>Current employees</v>
      </c>
    </row>
    <row r="419" spans="1:15" x14ac:dyDescent="0.35">
      <c r="A419" t="s">
        <v>122</v>
      </c>
      <c r="B419" t="s">
        <v>1074</v>
      </c>
      <c r="C419" t="s">
        <v>61</v>
      </c>
      <c r="D419" t="s">
        <v>43</v>
      </c>
      <c r="E419" t="s">
        <v>44</v>
      </c>
      <c r="F419" t="s">
        <v>17</v>
      </c>
      <c r="G419" t="s">
        <v>24</v>
      </c>
      <c r="H419">
        <v>31</v>
      </c>
      <c r="I419" s="1">
        <v>43695</v>
      </c>
      <c r="J419" s="2">
        <v>126353</v>
      </c>
      <c r="K419" s="3">
        <v>0.12</v>
      </c>
      <c r="L419" t="s">
        <v>33</v>
      </c>
      <c r="M419" t="s">
        <v>74</v>
      </c>
      <c r="N419" s="1" t="s">
        <v>21</v>
      </c>
      <c r="O419" s="1" t="str">
        <f>IF(OR(TBL_Employees[[#This Row],[Exit Date]],FALSE),"Left employees", "Current employees")</f>
        <v>Current employees</v>
      </c>
    </row>
    <row r="420" spans="1:15" x14ac:dyDescent="0.35">
      <c r="A420" t="s">
        <v>240</v>
      </c>
      <c r="B420" t="s">
        <v>1075</v>
      </c>
      <c r="C420" t="s">
        <v>40</v>
      </c>
      <c r="D420" t="s">
        <v>65</v>
      </c>
      <c r="E420" t="s">
        <v>44</v>
      </c>
      <c r="F420" t="s">
        <v>17</v>
      </c>
      <c r="G420" t="s">
        <v>24</v>
      </c>
      <c r="H420">
        <v>55</v>
      </c>
      <c r="I420" s="1">
        <v>40468</v>
      </c>
      <c r="J420" s="2">
        <v>188727</v>
      </c>
      <c r="K420" s="3">
        <v>0.23</v>
      </c>
      <c r="L420" t="s">
        <v>33</v>
      </c>
      <c r="M420" t="s">
        <v>34</v>
      </c>
      <c r="N420" s="1" t="s">
        <v>21</v>
      </c>
      <c r="O420" s="1" t="str">
        <f>IF(OR(TBL_Employees[[#This Row],[Exit Date]],FALSE),"Left employees", "Current employees")</f>
        <v>Current employees</v>
      </c>
    </row>
    <row r="421" spans="1:15" x14ac:dyDescent="0.35">
      <c r="A421" t="s">
        <v>113</v>
      </c>
      <c r="B421" t="s">
        <v>1076</v>
      </c>
      <c r="C421" t="s">
        <v>42</v>
      </c>
      <c r="D421" t="s">
        <v>50</v>
      </c>
      <c r="E421" t="s">
        <v>16</v>
      </c>
      <c r="F421" t="s">
        <v>28</v>
      </c>
      <c r="G421" t="s">
        <v>24</v>
      </c>
      <c r="H421">
        <v>52</v>
      </c>
      <c r="I421" s="1">
        <v>34383</v>
      </c>
      <c r="J421" s="2">
        <v>99624</v>
      </c>
      <c r="K421" s="3">
        <v>0</v>
      </c>
      <c r="L421" t="s">
        <v>19</v>
      </c>
      <c r="M421" t="s">
        <v>63</v>
      </c>
      <c r="N421" s="1" t="s">
        <v>21</v>
      </c>
      <c r="O421" s="1" t="str">
        <f>IF(OR(TBL_Employees[[#This Row],[Exit Date]],FALSE),"Left employees", "Current employees")</f>
        <v>Current employees</v>
      </c>
    </row>
    <row r="422" spans="1:15" x14ac:dyDescent="0.35">
      <c r="A422" t="s">
        <v>1077</v>
      </c>
      <c r="B422" t="s">
        <v>1078</v>
      </c>
      <c r="C422" t="s">
        <v>62</v>
      </c>
      <c r="D422" t="s">
        <v>50</v>
      </c>
      <c r="E422" t="s">
        <v>44</v>
      </c>
      <c r="F422" t="s">
        <v>17</v>
      </c>
      <c r="G422" t="s">
        <v>24</v>
      </c>
      <c r="H422">
        <v>55</v>
      </c>
      <c r="I422" s="1">
        <v>41202</v>
      </c>
      <c r="J422" s="2">
        <v>108686</v>
      </c>
      <c r="K422" s="3">
        <v>0.06</v>
      </c>
      <c r="L422" t="s">
        <v>19</v>
      </c>
      <c r="M422" t="s">
        <v>29</v>
      </c>
      <c r="N422" s="1" t="s">
        <v>21</v>
      </c>
      <c r="O422" s="1" t="str">
        <f>IF(OR(TBL_Employees[[#This Row],[Exit Date]],FALSE),"Left employees", "Current employees")</f>
        <v>Current employees</v>
      </c>
    </row>
    <row r="423" spans="1:15" x14ac:dyDescent="0.35">
      <c r="A423" t="s">
        <v>1079</v>
      </c>
      <c r="B423" t="s">
        <v>328</v>
      </c>
      <c r="C423" t="s">
        <v>68</v>
      </c>
      <c r="D423" t="s">
        <v>65</v>
      </c>
      <c r="E423" t="s">
        <v>32</v>
      </c>
      <c r="F423" t="s">
        <v>17</v>
      </c>
      <c r="G423" t="s">
        <v>51</v>
      </c>
      <c r="H423">
        <v>56</v>
      </c>
      <c r="I423" s="1">
        <v>34802</v>
      </c>
      <c r="J423" s="2">
        <v>50857</v>
      </c>
      <c r="K423" s="3">
        <v>0</v>
      </c>
      <c r="L423" t="s">
        <v>52</v>
      </c>
      <c r="M423" t="s">
        <v>81</v>
      </c>
      <c r="N423" s="1" t="s">
        <v>21</v>
      </c>
      <c r="O423" s="1" t="str">
        <f>IF(OR(TBL_Employees[[#This Row],[Exit Date]],FALSE),"Left employees", "Current employees")</f>
        <v>Current employees</v>
      </c>
    </row>
    <row r="424" spans="1:15" x14ac:dyDescent="0.35">
      <c r="A424" t="s">
        <v>1080</v>
      </c>
      <c r="B424" t="s">
        <v>1081</v>
      </c>
      <c r="C424" t="s">
        <v>69</v>
      </c>
      <c r="D424" t="s">
        <v>31</v>
      </c>
      <c r="E424" t="s">
        <v>36</v>
      </c>
      <c r="F424" t="s">
        <v>28</v>
      </c>
      <c r="G424" t="s">
        <v>18</v>
      </c>
      <c r="H424">
        <v>47</v>
      </c>
      <c r="I424" s="1">
        <v>36893</v>
      </c>
      <c r="J424" s="2">
        <v>120628</v>
      </c>
      <c r="K424" s="3">
        <v>0</v>
      </c>
      <c r="L424" t="s">
        <v>19</v>
      </c>
      <c r="M424" t="s">
        <v>20</v>
      </c>
      <c r="N424" s="1" t="s">
        <v>21</v>
      </c>
      <c r="O424" s="1" t="str">
        <f>IF(OR(TBL_Employees[[#This Row],[Exit Date]],FALSE),"Left employees", "Current employees")</f>
        <v>Current employees</v>
      </c>
    </row>
    <row r="425" spans="1:15" x14ac:dyDescent="0.35">
      <c r="A425" t="s">
        <v>1082</v>
      </c>
      <c r="B425" t="s">
        <v>1083</v>
      </c>
      <c r="C425" t="s">
        <v>40</v>
      </c>
      <c r="D425" t="s">
        <v>50</v>
      </c>
      <c r="E425" t="s">
        <v>44</v>
      </c>
      <c r="F425" t="s">
        <v>17</v>
      </c>
      <c r="G425" t="s">
        <v>18</v>
      </c>
      <c r="H425">
        <v>63</v>
      </c>
      <c r="I425" s="1">
        <v>43996</v>
      </c>
      <c r="J425" s="2">
        <v>181216</v>
      </c>
      <c r="K425" s="3">
        <v>0.27</v>
      </c>
      <c r="L425" t="s">
        <v>19</v>
      </c>
      <c r="M425" t="s">
        <v>29</v>
      </c>
      <c r="N425" s="1" t="s">
        <v>21</v>
      </c>
      <c r="O425" s="1" t="str">
        <f>IF(OR(TBL_Employees[[#This Row],[Exit Date]],FALSE),"Left employees", "Current employees")</f>
        <v>Current employees</v>
      </c>
    </row>
    <row r="426" spans="1:15" x14ac:dyDescent="0.35">
      <c r="A426" t="s">
        <v>151</v>
      </c>
      <c r="B426" t="s">
        <v>1084</v>
      </c>
      <c r="C426" t="s">
        <v>68</v>
      </c>
      <c r="D426" t="s">
        <v>15</v>
      </c>
      <c r="E426" t="s">
        <v>32</v>
      </c>
      <c r="F426" t="s">
        <v>17</v>
      </c>
      <c r="G426" t="s">
        <v>18</v>
      </c>
      <c r="H426">
        <v>63</v>
      </c>
      <c r="I426" s="1">
        <v>40984</v>
      </c>
      <c r="J426" s="2">
        <v>46081</v>
      </c>
      <c r="K426" s="3">
        <v>0</v>
      </c>
      <c r="L426" t="s">
        <v>19</v>
      </c>
      <c r="M426" t="s">
        <v>20</v>
      </c>
      <c r="N426" s="1" t="s">
        <v>21</v>
      </c>
      <c r="O426" s="1" t="str">
        <f>IF(OR(TBL_Employees[[#This Row],[Exit Date]],FALSE),"Left employees", "Current employees")</f>
        <v>Current employees</v>
      </c>
    </row>
    <row r="427" spans="1:15" x14ac:dyDescent="0.35">
      <c r="A427" t="s">
        <v>1085</v>
      </c>
      <c r="B427" t="s">
        <v>1086</v>
      </c>
      <c r="C427" t="s">
        <v>61</v>
      </c>
      <c r="D427" t="s">
        <v>65</v>
      </c>
      <c r="E427" t="s">
        <v>32</v>
      </c>
      <c r="F427" t="s">
        <v>17</v>
      </c>
      <c r="G427" t="s">
        <v>18</v>
      </c>
      <c r="H427">
        <v>55</v>
      </c>
      <c r="I427" s="1">
        <v>38135</v>
      </c>
      <c r="J427" s="2">
        <v>159885</v>
      </c>
      <c r="K427" s="3">
        <v>0.12</v>
      </c>
      <c r="L427" t="s">
        <v>19</v>
      </c>
      <c r="M427" t="s">
        <v>29</v>
      </c>
      <c r="N427" s="1" t="s">
        <v>21</v>
      </c>
      <c r="O427" s="1" t="str">
        <f>IF(OR(TBL_Employees[[#This Row],[Exit Date]],FALSE),"Left employees", "Current employees")</f>
        <v>Current employees</v>
      </c>
    </row>
    <row r="428" spans="1:15" x14ac:dyDescent="0.35">
      <c r="A428" t="s">
        <v>1087</v>
      </c>
      <c r="B428" t="s">
        <v>1088</v>
      </c>
      <c r="C428" t="s">
        <v>40</v>
      </c>
      <c r="D428" t="s">
        <v>50</v>
      </c>
      <c r="E428" t="s">
        <v>36</v>
      </c>
      <c r="F428" t="s">
        <v>17</v>
      </c>
      <c r="G428" t="s">
        <v>18</v>
      </c>
      <c r="H428">
        <v>55</v>
      </c>
      <c r="I428" s="1">
        <v>35001</v>
      </c>
      <c r="J428" s="2">
        <v>153271</v>
      </c>
      <c r="K428" s="3">
        <v>0.15</v>
      </c>
      <c r="L428" t="s">
        <v>19</v>
      </c>
      <c r="M428" t="s">
        <v>25</v>
      </c>
      <c r="N428" s="1" t="s">
        <v>21</v>
      </c>
      <c r="O428" s="1" t="str">
        <f>IF(OR(TBL_Employees[[#This Row],[Exit Date]],FALSE),"Left employees", "Current employees")</f>
        <v>Current employees</v>
      </c>
    </row>
    <row r="429" spans="1:15" x14ac:dyDescent="0.35">
      <c r="A429" t="s">
        <v>1089</v>
      </c>
      <c r="B429" t="s">
        <v>1090</v>
      </c>
      <c r="C429" t="s">
        <v>62</v>
      </c>
      <c r="D429" t="s">
        <v>23</v>
      </c>
      <c r="E429" t="s">
        <v>36</v>
      </c>
      <c r="F429" t="s">
        <v>28</v>
      </c>
      <c r="G429" t="s">
        <v>24</v>
      </c>
      <c r="H429">
        <v>42</v>
      </c>
      <c r="I429" s="1">
        <v>40159</v>
      </c>
      <c r="J429" s="2">
        <v>114242</v>
      </c>
      <c r="K429" s="3">
        <v>0.08</v>
      </c>
      <c r="L429" t="s">
        <v>19</v>
      </c>
      <c r="M429" t="s">
        <v>39</v>
      </c>
      <c r="N429" s="1" t="s">
        <v>21</v>
      </c>
      <c r="O429" s="1" t="str">
        <f>IF(OR(TBL_Employees[[#This Row],[Exit Date]],FALSE),"Left employees", "Current employees")</f>
        <v>Current employees</v>
      </c>
    </row>
    <row r="430" spans="1:15" x14ac:dyDescent="0.35">
      <c r="A430" t="s">
        <v>1091</v>
      </c>
      <c r="B430" t="s">
        <v>1092</v>
      </c>
      <c r="C430" t="s">
        <v>73</v>
      </c>
      <c r="D430" t="s">
        <v>27</v>
      </c>
      <c r="E430" t="s">
        <v>44</v>
      </c>
      <c r="F430" t="s">
        <v>17</v>
      </c>
      <c r="G430" t="s">
        <v>24</v>
      </c>
      <c r="H430">
        <v>39</v>
      </c>
      <c r="I430" s="1">
        <v>44153</v>
      </c>
      <c r="J430" s="2">
        <v>48415</v>
      </c>
      <c r="K430" s="3">
        <v>0</v>
      </c>
      <c r="L430" t="s">
        <v>33</v>
      </c>
      <c r="M430" t="s">
        <v>74</v>
      </c>
      <c r="N430" s="1" t="s">
        <v>21</v>
      </c>
      <c r="O430" s="1" t="str">
        <f>IF(OR(TBL_Employees[[#This Row],[Exit Date]],FALSE),"Left employees", "Current employees")</f>
        <v>Current employees</v>
      </c>
    </row>
    <row r="431" spans="1:15" x14ac:dyDescent="0.35">
      <c r="A431" t="s">
        <v>297</v>
      </c>
      <c r="B431" t="s">
        <v>1093</v>
      </c>
      <c r="C431" t="s">
        <v>86</v>
      </c>
      <c r="D431" t="s">
        <v>31</v>
      </c>
      <c r="E431" t="s">
        <v>36</v>
      </c>
      <c r="F431" t="s">
        <v>28</v>
      </c>
      <c r="G431" t="s">
        <v>51</v>
      </c>
      <c r="H431">
        <v>35</v>
      </c>
      <c r="I431" s="1">
        <v>42878</v>
      </c>
      <c r="J431" s="2">
        <v>65566</v>
      </c>
      <c r="K431" s="3">
        <v>0</v>
      </c>
      <c r="L431" t="s">
        <v>19</v>
      </c>
      <c r="M431" t="s">
        <v>63</v>
      </c>
      <c r="N431" s="1" t="s">
        <v>21</v>
      </c>
      <c r="O431" s="1" t="str">
        <f>IF(OR(TBL_Employees[[#This Row],[Exit Date]],FALSE),"Left employees", "Current employees")</f>
        <v>Current employees</v>
      </c>
    </row>
    <row r="432" spans="1:15" x14ac:dyDescent="0.35">
      <c r="A432" t="s">
        <v>1094</v>
      </c>
      <c r="B432" t="s">
        <v>1095</v>
      </c>
      <c r="C432" t="s">
        <v>61</v>
      </c>
      <c r="D432" t="s">
        <v>43</v>
      </c>
      <c r="E432" t="s">
        <v>16</v>
      </c>
      <c r="F432" t="s">
        <v>28</v>
      </c>
      <c r="G432" t="s">
        <v>24</v>
      </c>
      <c r="H432">
        <v>45</v>
      </c>
      <c r="I432" s="1">
        <v>37014</v>
      </c>
      <c r="J432" s="2">
        <v>147752</v>
      </c>
      <c r="K432" s="3">
        <v>0.12</v>
      </c>
      <c r="L432" t="s">
        <v>33</v>
      </c>
      <c r="M432" t="s">
        <v>74</v>
      </c>
      <c r="N432" s="1">
        <v>40903</v>
      </c>
      <c r="O432" s="1" t="str">
        <f>IF(OR(TBL_Employees[[#This Row],[Exit Date]],FALSE),"Left employees", "Current employees")</f>
        <v>Left employees</v>
      </c>
    </row>
    <row r="433" spans="1:15" x14ac:dyDescent="0.35">
      <c r="A433" t="s">
        <v>1096</v>
      </c>
      <c r="B433" t="s">
        <v>1097</v>
      </c>
      <c r="C433" t="s">
        <v>61</v>
      </c>
      <c r="D433" t="s">
        <v>43</v>
      </c>
      <c r="E433" t="s">
        <v>36</v>
      </c>
      <c r="F433" t="s">
        <v>17</v>
      </c>
      <c r="G433" t="s">
        <v>24</v>
      </c>
      <c r="H433">
        <v>25</v>
      </c>
      <c r="I433" s="1">
        <v>44453</v>
      </c>
      <c r="J433" s="2">
        <v>136810</v>
      </c>
      <c r="K433" s="3">
        <v>0.14000000000000001</v>
      </c>
      <c r="L433" t="s">
        <v>33</v>
      </c>
      <c r="M433" t="s">
        <v>80</v>
      </c>
      <c r="N433" s="1" t="s">
        <v>21</v>
      </c>
      <c r="O433" s="1" t="str">
        <f>IF(OR(TBL_Employees[[#This Row],[Exit Date]],FALSE),"Left employees", "Current employees")</f>
        <v>Current employees</v>
      </c>
    </row>
    <row r="434" spans="1:15" x14ac:dyDescent="0.35">
      <c r="A434" t="s">
        <v>1098</v>
      </c>
      <c r="B434" t="s">
        <v>1099</v>
      </c>
      <c r="C434" t="s">
        <v>68</v>
      </c>
      <c r="D434" t="s">
        <v>50</v>
      </c>
      <c r="E434" t="s">
        <v>32</v>
      </c>
      <c r="F434" t="s">
        <v>28</v>
      </c>
      <c r="G434" t="s">
        <v>18</v>
      </c>
      <c r="H434">
        <v>47</v>
      </c>
      <c r="I434" s="1">
        <v>41333</v>
      </c>
      <c r="J434" s="2">
        <v>54635</v>
      </c>
      <c r="K434" s="3">
        <v>0</v>
      </c>
      <c r="L434" t="s">
        <v>19</v>
      </c>
      <c r="M434" t="s">
        <v>20</v>
      </c>
      <c r="N434" s="1" t="s">
        <v>21</v>
      </c>
      <c r="O434" s="1" t="str">
        <f>IF(OR(TBL_Employees[[#This Row],[Exit Date]],FALSE),"Left employees", "Current employees")</f>
        <v>Current employees</v>
      </c>
    </row>
    <row r="435" spans="1:15" x14ac:dyDescent="0.35">
      <c r="A435" t="s">
        <v>1100</v>
      </c>
      <c r="B435" t="s">
        <v>1101</v>
      </c>
      <c r="C435" t="s">
        <v>38</v>
      </c>
      <c r="D435" t="s">
        <v>27</v>
      </c>
      <c r="E435" t="s">
        <v>32</v>
      </c>
      <c r="F435" t="s">
        <v>17</v>
      </c>
      <c r="G435" t="s">
        <v>18</v>
      </c>
      <c r="H435">
        <v>42</v>
      </c>
      <c r="I435" s="1">
        <v>43866</v>
      </c>
      <c r="J435" s="2">
        <v>96636</v>
      </c>
      <c r="K435" s="3">
        <v>0</v>
      </c>
      <c r="L435" t="s">
        <v>19</v>
      </c>
      <c r="M435" t="s">
        <v>29</v>
      </c>
      <c r="N435" s="1" t="s">
        <v>21</v>
      </c>
      <c r="O435" s="1" t="str">
        <f>IF(OR(TBL_Employees[[#This Row],[Exit Date]],FALSE),"Left employees", "Current employees")</f>
        <v>Current employees</v>
      </c>
    </row>
    <row r="436" spans="1:15" x14ac:dyDescent="0.35">
      <c r="A436" t="s">
        <v>198</v>
      </c>
      <c r="B436" t="s">
        <v>1102</v>
      </c>
      <c r="C436" t="s">
        <v>98</v>
      </c>
      <c r="D436" t="s">
        <v>27</v>
      </c>
      <c r="E436" t="s">
        <v>36</v>
      </c>
      <c r="F436" t="s">
        <v>17</v>
      </c>
      <c r="G436" t="s">
        <v>47</v>
      </c>
      <c r="H436">
        <v>35</v>
      </c>
      <c r="I436" s="1">
        <v>41941</v>
      </c>
      <c r="J436" s="2">
        <v>91592</v>
      </c>
      <c r="K436" s="3">
        <v>0</v>
      </c>
      <c r="L436" t="s">
        <v>19</v>
      </c>
      <c r="M436" t="s">
        <v>20</v>
      </c>
      <c r="N436" s="1" t="s">
        <v>21</v>
      </c>
      <c r="O436" s="1" t="str">
        <f>IF(OR(TBL_Employees[[#This Row],[Exit Date]],FALSE),"Left employees", "Current employees")</f>
        <v>Current employees</v>
      </c>
    </row>
    <row r="437" spans="1:15" x14ac:dyDescent="0.35">
      <c r="A437" t="s">
        <v>78</v>
      </c>
      <c r="B437" t="s">
        <v>1103</v>
      </c>
      <c r="C437" t="s">
        <v>83</v>
      </c>
      <c r="D437" t="s">
        <v>23</v>
      </c>
      <c r="E437" t="s">
        <v>16</v>
      </c>
      <c r="F437" t="s">
        <v>17</v>
      </c>
      <c r="G437" t="s">
        <v>24</v>
      </c>
      <c r="H437">
        <v>45</v>
      </c>
      <c r="I437" s="1">
        <v>36755</v>
      </c>
      <c r="J437" s="2">
        <v>55563</v>
      </c>
      <c r="K437" s="3">
        <v>0</v>
      </c>
      <c r="L437" t="s">
        <v>33</v>
      </c>
      <c r="M437" t="s">
        <v>34</v>
      </c>
      <c r="N437" s="1" t="s">
        <v>21</v>
      </c>
      <c r="O437" s="1" t="str">
        <f>IF(OR(TBL_Employees[[#This Row],[Exit Date]],FALSE),"Left employees", "Current employees")</f>
        <v>Current employees</v>
      </c>
    </row>
    <row r="438" spans="1:15" x14ac:dyDescent="0.35">
      <c r="A438" t="s">
        <v>288</v>
      </c>
      <c r="B438" t="s">
        <v>1104</v>
      </c>
      <c r="C438" t="s">
        <v>40</v>
      </c>
      <c r="D438" t="s">
        <v>27</v>
      </c>
      <c r="E438" t="s">
        <v>16</v>
      </c>
      <c r="F438" t="s">
        <v>17</v>
      </c>
      <c r="G438" t="s">
        <v>24</v>
      </c>
      <c r="H438">
        <v>52</v>
      </c>
      <c r="I438" s="1">
        <v>35109</v>
      </c>
      <c r="J438" s="2">
        <v>159724</v>
      </c>
      <c r="K438" s="3">
        <v>0.23</v>
      </c>
      <c r="L438" t="s">
        <v>33</v>
      </c>
      <c r="M438" t="s">
        <v>60</v>
      </c>
      <c r="N438" s="1" t="s">
        <v>21</v>
      </c>
      <c r="O438" s="1" t="str">
        <f>IF(OR(TBL_Employees[[#This Row],[Exit Date]],FALSE),"Left employees", "Current employees")</f>
        <v>Current employees</v>
      </c>
    </row>
    <row r="439" spans="1:15" x14ac:dyDescent="0.35">
      <c r="A439" t="s">
        <v>1105</v>
      </c>
      <c r="B439" t="s">
        <v>1106</v>
      </c>
      <c r="C439" t="s">
        <v>14</v>
      </c>
      <c r="D439" t="s">
        <v>43</v>
      </c>
      <c r="E439" t="s">
        <v>32</v>
      </c>
      <c r="F439" t="s">
        <v>28</v>
      </c>
      <c r="G439" t="s">
        <v>24</v>
      </c>
      <c r="H439">
        <v>57</v>
      </c>
      <c r="I439" s="1">
        <v>42951</v>
      </c>
      <c r="J439" s="2">
        <v>183190</v>
      </c>
      <c r="K439" s="3">
        <v>0.36</v>
      </c>
      <c r="L439" t="s">
        <v>19</v>
      </c>
      <c r="M439" t="s">
        <v>20</v>
      </c>
      <c r="N439" s="1" t="s">
        <v>21</v>
      </c>
      <c r="O439" s="1" t="str">
        <f>IF(OR(TBL_Employees[[#This Row],[Exit Date]],FALSE),"Left employees", "Current employees")</f>
        <v>Current employees</v>
      </c>
    </row>
    <row r="440" spans="1:15" x14ac:dyDescent="0.35">
      <c r="A440" t="s">
        <v>1107</v>
      </c>
      <c r="B440" t="s">
        <v>1108</v>
      </c>
      <c r="C440" t="s">
        <v>68</v>
      </c>
      <c r="D440" t="s">
        <v>65</v>
      </c>
      <c r="E440" t="s">
        <v>44</v>
      </c>
      <c r="F440" t="s">
        <v>17</v>
      </c>
      <c r="G440" t="s">
        <v>18</v>
      </c>
      <c r="H440">
        <v>56</v>
      </c>
      <c r="I440" s="1">
        <v>43824</v>
      </c>
      <c r="J440" s="2">
        <v>54829</v>
      </c>
      <c r="K440" s="3">
        <v>0</v>
      </c>
      <c r="L440" t="s">
        <v>19</v>
      </c>
      <c r="M440" t="s">
        <v>39</v>
      </c>
      <c r="N440" s="1" t="s">
        <v>21</v>
      </c>
      <c r="O440" s="1" t="str">
        <f>IF(OR(TBL_Employees[[#This Row],[Exit Date]],FALSE),"Left employees", "Current employees")</f>
        <v>Current employees</v>
      </c>
    </row>
    <row r="441" spans="1:15" x14ac:dyDescent="0.35">
      <c r="A441" t="s">
        <v>1109</v>
      </c>
      <c r="B441" t="s">
        <v>298</v>
      </c>
      <c r="C441" t="s">
        <v>30</v>
      </c>
      <c r="D441" t="s">
        <v>31</v>
      </c>
      <c r="E441" t="s">
        <v>32</v>
      </c>
      <c r="F441" t="s">
        <v>28</v>
      </c>
      <c r="G441" t="s">
        <v>51</v>
      </c>
      <c r="H441">
        <v>46</v>
      </c>
      <c r="I441" s="1">
        <v>38464</v>
      </c>
      <c r="J441" s="2">
        <v>96639</v>
      </c>
      <c r="K441" s="3">
        <v>0</v>
      </c>
      <c r="L441" t="s">
        <v>52</v>
      </c>
      <c r="M441" t="s">
        <v>66</v>
      </c>
      <c r="N441" s="1" t="s">
        <v>21</v>
      </c>
      <c r="O441" s="1" t="str">
        <f>IF(OR(TBL_Employees[[#This Row],[Exit Date]],FALSE),"Left employees", "Current employees")</f>
        <v>Current employees</v>
      </c>
    </row>
    <row r="442" spans="1:15" x14ac:dyDescent="0.35">
      <c r="A442" t="s">
        <v>115</v>
      </c>
      <c r="B442" t="s">
        <v>1110</v>
      </c>
      <c r="C442" t="s">
        <v>62</v>
      </c>
      <c r="D442" t="s">
        <v>43</v>
      </c>
      <c r="E442" t="s">
        <v>44</v>
      </c>
      <c r="F442" t="s">
        <v>17</v>
      </c>
      <c r="G442" t="s">
        <v>24</v>
      </c>
      <c r="H442">
        <v>43</v>
      </c>
      <c r="I442" s="1">
        <v>38879</v>
      </c>
      <c r="J442" s="2">
        <v>117278</v>
      </c>
      <c r="K442" s="3">
        <v>0.09</v>
      </c>
      <c r="L442" t="s">
        <v>19</v>
      </c>
      <c r="M442" t="s">
        <v>45</v>
      </c>
      <c r="N442" s="1" t="s">
        <v>21</v>
      </c>
      <c r="O442" s="1" t="str">
        <f>IF(OR(TBL_Employees[[#This Row],[Exit Date]],FALSE),"Left employees", "Current employees")</f>
        <v>Current employees</v>
      </c>
    </row>
    <row r="443" spans="1:15" x14ac:dyDescent="0.35">
      <c r="A443" t="s">
        <v>1111</v>
      </c>
      <c r="B443" t="s">
        <v>1112</v>
      </c>
      <c r="C443" t="s">
        <v>56</v>
      </c>
      <c r="D443" t="s">
        <v>27</v>
      </c>
      <c r="E443" t="s">
        <v>44</v>
      </c>
      <c r="F443" t="s">
        <v>28</v>
      </c>
      <c r="G443" t="s">
        <v>24</v>
      </c>
      <c r="H443">
        <v>53</v>
      </c>
      <c r="I443" s="1">
        <v>39487</v>
      </c>
      <c r="J443" s="2">
        <v>84193</v>
      </c>
      <c r="K443" s="3">
        <v>0.09</v>
      </c>
      <c r="L443" t="s">
        <v>33</v>
      </c>
      <c r="M443" t="s">
        <v>74</v>
      </c>
      <c r="N443" s="1" t="s">
        <v>21</v>
      </c>
      <c r="O443" s="1" t="str">
        <f>IF(OR(TBL_Employees[[#This Row],[Exit Date]],FALSE),"Left employees", "Current employees")</f>
        <v>Current employees</v>
      </c>
    </row>
    <row r="444" spans="1:15" x14ac:dyDescent="0.35">
      <c r="A444" t="s">
        <v>1113</v>
      </c>
      <c r="B444" t="s">
        <v>1114</v>
      </c>
      <c r="C444" t="s">
        <v>89</v>
      </c>
      <c r="D444" t="s">
        <v>27</v>
      </c>
      <c r="E444" t="s">
        <v>36</v>
      </c>
      <c r="F444" t="s">
        <v>17</v>
      </c>
      <c r="G444" t="s">
        <v>18</v>
      </c>
      <c r="H444">
        <v>47</v>
      </c>
      <c r="I444" s="1">
        <v>43309</v>
      </c>
      <c r="J444" s="2">
        <v>87806</v>
      </c>
      <c r="K444" s="3">
        <v>0</v>
      </c>
      <c r="L444" t="s">
        <v>19</v>
      </c>
      <c r="M444" t="s">
        <v>63</v>
      </c>
      <c r="N444" s="1" t="s">
        <v>21</v>
      </c>
      <c r="O444" s="1" t="str">
        <f>IF(OR(TBL_Employees[[#This Row],[Exit Date]],FALSE),"Left employees", "Current employees")</f>
        <v>Current employees</v>
      </c>
    </row>
    <row r="445" spans="1:15" x14ac:dyDescent="0.35">
      <c r="A445" t="s">
        <v>1115</v>
      </c>
      <c r="B445" t="s">
        <v>1116</v>
      </c>
      <c r="C445" t="s">
        <v>58</v>
      </c>
      <c r="D445" t="s">
        <v>31</v>
      </c>
      <c r="E445" t="s">
        <v>16</v>
      </c>
      <c r="F445" t="s">
        <v>28</v>
      </c>
      <c r="G445" t="s">
        <v>18</v>
      </c>
      <c r="H445">
        <v>62</v>
      </c>
      <c r="I445" s="1">
        <v>40820</v>
      </c>
      <c r="J445" s="2">
        <v>63959</v>
      </c>
      <c r="K445" s="3">
        <v>0</v>
      </c>
      <c r="L445" t="s">
        <v>19</v>
      </c>
      <c r="M445" t="s">
        <v>63</v>
      </c>
      <c r="N445" s="1" t="s">
        <v>21</v>
      </c>
      <c r="O445" s="1" t="str">
        <f>IF(OR(TBL_Employees[[#This Row],[Exit Date]],FALSE),"Left employees", "Current employees")</f>
        <v>Current employees</v>
      </c>
    </row>
    <row r="446" spans="1:15" x14ac:dyDescent="0.35">
      <c r="A446" t="s">
        <v>1117</v>
      </c>
      <c r="B446" t="s">
        <v>1118</v>
      </c>
      <c r="C446" t="s">
        <v>14</v>
      </c>
      <c r="D446" t="s">
        <v>27</v>
      </c>
      <c r="E446" t="s">
        <v>16</v>
      </c>
      <c r="F446" t="s">
        <v>28</v>
      </c>
      <c r="G446" t="s">
        <v>24</v>
      </c>
      <c r="H446">
        <v>35</v>
      </c>
      <c r="I446" s="1">
        <v>42166</v>
      </c>
      <c r="J446" s="2">
        <v>234723</v>
      </c>
      <c r="K446" s="3">
        <v>0.36</v>
      </c>
      <c r="L446" t="s">
        <v>33</v>
      </c>
      <c r="M446" t="s">
        <v>74</v>
      </c>
      <c r="N446" s="1" t="s">
        <v>21</v>
      </c>
      <c r="O446" s="1" t="str">
        <f>IF(OR(TBL_Employees[[#This Row],[Exit Date]],FALSE),"Left employees", "Current employees")</f>
        <v>Current employees</v>
      </c>
    </row>
    <row r="447" spans="1:15" x14ac:dyDescent="0.35">
      <c r="A447" t="s">
        <v>1119</v>
      </c>
      <c r="B447" t="s">
        <v>1120</v>
      </c>
      <c r="C447" t="s">
        <v>68</v>
      </c>
      <c r="D447" t="s">
        <v>65</v>
      </c>
      <c r="E447" t="s">
        <v>32</v>
      </c>
      <c r="F447" t="s">
        <v>17</v>
      </c>
      <c r="G447" t="s">
        <v>24</v>
      </c>
      <c r="H447">
        <v>27</v>
      </c>
      <c r="I447" s="1">
        <v>43701</v>
      </c>
      <c r="J447" s="2">
        <v>50809</v>
      </c>
      <c r="K447" s="3">
        <v>0</v>
      </c>
      <c r="L447" t="s">
        <v>33</v>
      </c>
      <c r="M447" t="s">
        <v>80</v>
      </c>
      <c r="N447" s="1" t="s">
        <v>21</v>
      </c>
      <c r="O447" s="1" t="str">
        <f>IF(OR(TBL_Employees[[#This Row],[Exit Date]],FALSE),"Left employees", "Current employees")</f>
        <v>Current employees</v>
      </c>
    </row>
    <row r="448" spans="1:15" x14ac:dyDescent="0.35">
      <c r="A448" t="s">
        <v>1121</v>
      </c>
      <c r="B448" t="s">
        <v>1122</v>
      </c>
      <c r="C448" t="s">
        <v>42</v>
      </c>
      <c r="D448" t="s">
        <v>15</v>
      </c>
      <c r="E448" t="s">
        <v>36</v>
      </c>
      <c r="F448" t="s">
        <v>28</v>
      </c>
      <c r="G448" t="s">
        <v>18</v>
      </c>
      <c r="H448">
        <v>55</v>
      </c>
      <c r="I448" s="1">
        <v>37456</v>
      </c>
      <c r="J448" s="2">
        <v>77396</v>
      </c>
      <c r="K448" s="3">
        <v>0</v>
      </c>
      <c r="L448" t="s">
        <v>19</v>
      </c>
      <c r="M448" t="s">
        <v>45</v>
      </c>
      <c r="N448" s="1" t="s">
        <v>21</v>
      </c>
      <c r="O448" s="1" t="str">
        <f>IF(OR(TBL_Employees[[#This Row],[Exit Date]],FALSE),"Left employees", "Current employees")</f>
        <v>Current employees</v>
      </c>
    </row>
    <row r="449" spans="1:15" x14ac:dyDescent="0.35">
      <c r="A449" t="s">
        <v>142</v>
      </c>
      <c r="B449" t="s">
        <v>1123</v>
      </c>
      <c r="C449" t="s">
        <v>42</v>
      </c>
      <c r="D449" t="s">
        <v>15</v>
      </c>
      <c r="E449" t="s">
        <v>44</v>
      </c>
      <c r="F449" t="s">
        <v>17</v>
      </c>
      <c r="G449" t="s">
        <v>24</v>
      </c>
      <c r="H449">
        <v>63</v>
      </c>
      <c r="I449" s="1">
        <v>36525</v>
      </c>
      <c r="J449" s="2">
        <v>89523</v>
      </c>
      <c r="K449" s="3">
        <v>0</v>
      </c>
      <c r="L449" t="s">
        <v>19</v>
      </c>
      <c r="M449" t="s">
        <v>39</v>
      </c>
      <c r="N449" s="1" t="s">
        <v>21</v>
      </c>
      <c r="O449" s="1" t="str">
        <f>IF(OR(TBL_Employees[[#This Row],[Exit Date]],FALSE),"Left employees", "Current employees")</f>
        <v>Current employees</v>
      </c>
    </row>
    <row r="450" spans="1:15" x14ac:dyDescent="0.35">
      <c r="A450" t="s">
        <v>1124</v>
      </c>
      <c r="B450" t="s">
        <v>1125</v>
      </c>
      <c r="C450" t="s">
        <v>38</v>
      </c>
      <c r="D450" t="s">
        <v>27</v>
      </c>
      <c r="E450" t="s">
        <v>32</v>
      </c>
      <c r="F450" t="s">
        <v>17</v>
      </c>
      <c r="G450" t="s">
        <v>24</v>
      </c>
      <c r="H450">
        <v>53</v>
      </c>
      <c r="I450" s="1">
        <v>40744</v>
      </c>
      <c r="J450" s="2">
        <v>86173</v>
      </c>
      <c r="K450" s="3">
        <v>0</v>
      </c>
      <c r="L450" t="s">
        <v>33</v>
      </c>
      <c r="M450" t="s">
        <v>80</v>
      </c>
      <c r="N450" s="1" t="s">
        <v>21</v>
      </c>
      <c r="O450" s="1" t="str">
        <f>IF(OR(TBL_Employees[[#This Row],[Exit Date]],FALSE),"Left employees", "Current employees")</f>
        <v>Current employees</v>
      </c>
    </row>
    <row r="451" spans="1:15" x14ac:dyDescent="0.35">
      <c r="A451" t="s">
        <v>1126</v>
      </c>
      <c r="B451" t="s">
        <v>1127</v>
      </c>
      <c r="C451" t="s">
        <v>14</v>
      </c>
      <c r="D451" t="s">
        <v>50</v>
      </c>
      <c r="E451" t="s">
        <v>36</v>
      </c>
      <c r="F451" t="s">
        <v>17</v>
      </c>
      <c r="G451" t="s">
        <v>47</v>
      </c>
      <c r="H451">
        <v>54</v>
      </c>
      <c r="I451" s="1">
        <v>36757</v>
      </c>
      <c r="J451" s="2">
        <v>222224</v>
      </c>
      <c r="K451" s="3">
        <v>0.38</v>
      </c>
      <c r="L451" t="s">
        <v>19</v>
      </c>
      <c r="M451" t="s">
        <v>29</v>
      </c>
      <c r="N451" s="1" t="s">
        <v>21</v>
      </c>
      <c r="O451" s="1" t="str">
        <f>IF(OR(TBL_Employees[[#This Row],[Exit Date]],FALSE),"Left employees", "Current employees")</f>
        <v>Current employees</v>
      </c>
    </row>
    <row r="452" spans="1:15" x14ac:dyDescent="0.35">
      <c r="A452" t="s">
        <v>1128</v>
      </c>
      <c r="B452" t="s">
        <v>1129</v>
      </c>
      <c r="C452" t="s">
        <v>61</v>
      </c>
      <c r="D452" t="s">
        <v>15</v>
      </c>
      <c r="E452" t="s">
        <v>16</v>
      </c>
      <c r="F452" t="s">
        <v>28</v>
      </c>
      <c r="G452" t="s">
        <v>24</v>
      </c>
      <c r="H452">
        <v>43</v>
      </c>
      <c r="I452" s="1">
        <v>44303</v>
      </c>
      <c r="J452" s="2">
        <v>146140</v>
      </c>
      <c r="K452" s="3">
        <v>0.15</v>
      </c>
      <c r="L452" t="s">
        <v>19</v>
      </c>
      <c r="M452" t="s">
        <v>63</v>
      </c>
      <c r="N452" s="1" t="s">
        <v>21</v>
      </c>
      <c r="O452" s="1" t="str">
        <f>IF(OR(TBL_Employees[[#This Row],[Exit Date]],FALSE),"Left employees", "Current employees")</f>
        <v>Current employees</v>
      </c>
    </row>
    <row r="453" spans="1:15" x14ac:dyDescent="0.35">
      <c r="A453" t="s">
        <v>334</v>
      </c>
      <c r="B453" t="s">
        <v>1130</v>
      </c>
      <c r="C453" t="s">
        <v>97</v>
      </c>
      <c r="D453" t="s">
        <v>31</v>
      </c>
      <c r="E453" t="s">
        <v>44</v>
      </c>
      <c r="F453" t="s">
        <v>17</v>
      </c>
      <c r="G453" t="s">
        <v>18</v>
      </c>
      <c r="H453">
        <v>64</v>
      </c>
      <c r="I453" s="1">
        <v>34505</v>
      </c>
      <c r="J453" s="2">
        <v>109456</v>
      </c>
      <c r="K453" s="3">
        <v>0.1</v>
      </c>
      <c r="L453" t="s">
        <v>19</v>
      </c>
      <c r="M453" t="s">
        <v>20</v>
      </c>
      <c r="N453" s="1" t="s">
        <v>21</v>
      </c>
      <c r="O453" s="1" t="str">
        <f>IF(OR(TBL_Employees[[#This Row],[Exit Date]],FALSE),"Left employees", "Current employees")</f>
        <v>Current employees</v>
      </c>
    </row>
    <row r="454" spans="1:15" x14ac:dyDescent="0.35">
      <c r="A454" t="s">
        <v>1131</v>
      </c>
      <c r="B454" t="s">
        <v>1132</v>
      </c>
      <c r="C454" t="s">
        <v>40</v>
      </c>
      <c r="D454" t="s">
        <v>15</v>
      </c>
      <c r="E454" t="s">
        <v>16</v>
      </c>
      <c r="F454" t="s">
        <v>17</v>
      </c>
      <c r="G454" t="s">
        <v>51</v>
      </c>
      <c r="H454">
        <v>65</v>
      </c>
      <c r="I454" s="1">
        <v>39728</v>
      </c>
      <c r="J454" s="2">
        <v>170221</v>
      </c>
      <c r="K454" s="3">
        <v>0.15</v>
      </c>
      <c r="L454" t="s">
        <v>52</v>
      </c>
      <c r="M454" t="s">
        <v>81</v>
      </c>
      <c r="N454" s="1" t="s">
        <v>21</v>
      </c>
      <c r="O454" s="1" t="str">
        <f>IF(OR(TBL_Employees[[#This Row],[Exit Date]],FALSE),"Left employees", "Current employees")</f>
        <v>Current employees</v>
      </c>
    </row>
    <row r="455" spans="1:15" x14ac:dyDescent="0.35">
      <c r="A455" t="s">
        <v>252</v>
      </c>
      <c r="B455" t="s">
        <v>1133</v>
      </c>
      <c r="C455" t="s">
        <v>56</v>
      </c>
      <c r="D455" t="s">
        <v>27</v>
      </c>
      <c r="E455" t="s">
        <v>16</v>
      </c>
      <c r="F455" t="s">
        <v>17</v>
      </c>
      <c r="G455" t="s">
        <v>18</v>
      </c>
      <c r="H455">
        <v>42</v>
      </c>
      <c r="I455" s="1">
        <v>38777</v>
      </c>
      <c r="J455" s="2">
        <v>97433</v>
      </c>
      <c r="K455" s="3">
        <v>0.05</v>
      </c>
      <c r="L455" t="s">
        <v>19</v>
      </c>
      <c r="M455" t="s">
        <v>63</v>
      </c>
      <c r="N455" s="1">
        <v>42224</v>
      </c>
      <c r="O455" s="1" t="str">
        <f>IF(OR(TBL_Employees[[#This Row],[Exit Date]],FALSE),"Left employees", "Current employees")</f>
        <v>Left employees</v>
      </c>
    </row>
    <row r="456" spans="1:15" x14ac:dyDescent="0.35">
      <c r="A456" t="s">
        <v>1134</v>
      </c>
      <c r="B456" t="s">
        <v>1135</v>
      </c>
      <c r="C456" t="s">
        <v>94</v>
      </c>
      <c r="D456" t="s">
        <v>50</v>
      </c>
      <c r="E456" t="s">
        <v>36</v>
      </c>
      <c r="F456" t="s">
        <v>28</v>
      </c>
      <c r="G456" t="s">
        <v>24</v>
      </c>
      <c r="H456">
        <v>35</v>
      </c>
      <c r="I456" s="1">
        <v>41516</v>
      </c>
      <c r="J456" s="2">
        <v>59646</v>
      </c>
      <c r="K456" s="3">
        <v>0</v>
      </c>
      <c r="L456" t="s">
        <v>33</v>
      </c>
      <c r="M456" t="s">
        <v>74</v>
      </c>
      <c r="N456" s="1" t="s">
        <v>21</v>
      </c>
      <c r="O456" s="1" t="str">
        <f>IF(OR(TBL_Employees[[#This Row],[Exit Date]],FALSE),"Left employees", "Current employees")</f>
        <v>Current employees</v>
      </c>
    </row>
    <row r="457" spans="1:15" x14ac:dyDescent="0.35">
      <c r="A457" t="s">
        <v>37</v>
      </c>
      <c r="B457" t="s">
        <v>1136</v>
      </c>
      <c r="C457" t="s">
        <v>40</v>
      </c>
      <c r="D457" t="s">
        <v>31</v>
      </c>
      <c r="E457" t="s">
        <v>44</v>
      </c>
      <c r="F457" t="s">
        <v>28</v>
      </c>
      <c r="G457" t="s">
        <v>24</v>
      </c>
      <c r="H457">
        <v>64</v>
      </c>
      <c r="I457" s="1">
        <v>34940</v>
      </c>
      <c r="J457" s="2">
        <v>158787</v>
      </c>
      <c r="K457" s="3">
        <v>0.18</v>
      </c>
      <c r="L457" t="s">
        <v>33</v>
      </c>
      <c r="M457" t="s">
        <v>34</v>
      </c>
      <c r="N457" s="1" t="s">
        <v>21</v>
      </c>
      <c r="O457" s="1" t="str">
        <f>IF(OR(TBL_Employees[[#This Row],[Exit Date]],FALSE),"Left employees", "Current employees")</f>
        <v>Current employees</v>
      </c>
    </row>
    <row r="458" spans="1:15" x14ac:dyDescent="0.35">
      <c r="A458" t="s">
        <v>150</v>
      </c>
      <c r="B458" t="s">
        <v>286</v>
      </c>
      <c r="C458" t="s">
        <v>84</v>
      </c>
      <c r="D458" t="s">
        <v>31</v>
      </c>
      <c r="E458" t="s">
        <v>16</v>
      </c>
      <c r="F458" t="s">
        <v>28</v>
      </c>
      <c r="G458" t="s">
        <v>24</v>
      </c>
      <c r="H458">
        <v>55</v>
      </c>
      <c r="I458" s="1">
        <v>43219</v>
      </c>
      <c r="J458" s="2">
        <v>83378</v>
      </c>
      <c r="K458" s="3">
        <v>0</v>
      </c>
      <c r="L458" t="s">
        <v>33</v>
      </c>
      <c r="M458" t="s">
        <v>60</v>
      </c>
      <c r="N458" s="1" t="s">
        <v>21</v>
      </c>
      <c r="O458" s="1" t="str">
        <f>IF(OR(TBL_Employees[[#This Row],[Exit Date]],FALSE),"Left employees", "Current employees")</f>
        <v>Current employees</v>
      </c>
    </row>
    <row r="459" spans="1:15" x14ac:dyDescent="0.35">
      <c r="A459" t="s">
        <v>1137</v>
      </c>
      <c r="B459" t="s">
        <v>1138</v>
      </c>
      <c r="C459" t="s">
        <v>42</v>
      </c>
      <c r="D459" t="s">
        <v>43</v>
      </c>
      <c r="E459" t="s">
        <v>32</v>
      </c>
      <c r="F459" t="s">
        <v>17</v>
      </c>
      <c r="G459" t="s">
        <v>51</v>
      </c>
      <c r="H459">
        <v>32</v>
      </c>
      <c r="I459" s="1">
        <v>41590</v>
      </c>
      <c r="J459" s="2">
        <v>88895</v>
      </c>
      <c r="K459" s="3">
        <v>0</v>
      </c>
      <c r="L459" t="s">
        <v>19</v>
      </c>
      <c r="M459" t="s">
        <v>20</v>
      </c>
      <c r="N459" s="1" t="s">
        <v>21</v>
      </c>
      <c r="O459" s="1" t="str">
        <f>IF(OR(TBL_Employees[[#This Row],[Exit Date]],FALSE),"Left employees", "Current employees")</f>
        <v>Current employees</v>
      </c>
    </row>
    <row r="460" spans="1:15" x14ac:dyDescent="0.35">
      <c r="A460" t="s">
        <v>103</v>
      </c>
      <c r="B460" t="s">
        <v>1139</v>
      </c>
      <c r="C460" t="s">
        <v>40</v>
      </c>
      <c r="D460" t="s">
        <v>43</v>
      </c>
      <c r="E460" t="s">
        <v>32</v>
      </c>
      <c r="F460" t="s">
        <v>28</v>
      </c>
      <c r="G460" t="s">
        <v>24</v>
      </c>
      <c r="H460">
        <v>45</v>
      </c>
      <c r="I460" s="1">
        <v>38332</v>
      </c>
      <c r="J460" s="2">
        <v>168846</v>
      </c>
      <c r="K460" s="3">
        <v>0.24</v>
      </c>
      <c r="L460" t="s">
        <v>33</v>
      </c>
      <c r="M460" t="s">
        <v>80</v>
      </c>
      <c r="N460" s="1" t="s">
        <v>21</v>
      </c>
      <c r="O460" s="1" t="str">
        <f>IF(OR(TBL_Employees[[#This Row],[Exit Date]],FALSE),"Left employees", "Current employees")</f>
        <v>Current employees</v>
      </c>
    </row>
    <row r="461" spans="1:15" x14ac:dyDescent="0.35">
      <c r="A461" t="s">
        <v>1140</v>
      </c>
      <c r="B461" t="s">
        <v>1141</v>
      </c>
      <c r="C461" t="s">
        <v>83</v>
      </c>
      <c r="D461" t="s">
        <v>23</v>
      </c>
      <c r="E461" t="s">
        <v>16</v>
      </c>
      <c r="F461" t="s">
        <v>28</v>
      </c>
      <c r="G461" t="s">
        <v>24</v>
      </c>
      <c r="H461">
        <v>35</v>
      </c>
      <c r="I461" s="1">
        <v>40596</v>
      </c>
      <c r="J461" s="2">
        <v>43336</v>
      </c>
      <c r="K461" s="3">
        <v>0</v>
      </c>
      <c r="L461" t="s">
        <v>19</v>
      </c>
      <c r="M461" t="s">
        <v>25</v>
      </c>
      <c r="N461" s="1">
        <v>44024</v>
      </c>
      <c r="O461" s="1" t="str">
        <f>IF(OR(TBL_Employees[[#This Row],[Exit Date]],FALSE),"Left employees", "Current employees")</f>
        <v>Left employees</v>
      </c>
    </row>
    <row r="462" spans="1:15" x14ac:dyDescent="0.35">
      <c r="A462" t="s">
        <v>1142</v>
      </c>
      <c r="B462" t="s">
        <v>1143</v>
      </c>
      <c r="C462" t="s">
        <v>61</v>
      </c>
      <c r="D462" t="s">
        <v>23</v>
      </c>
      <c r="E462" t="s">
        <v>32</v>
      </c>
      <c r="F462" t="s">
        <v>28</v>
      </c>
      <c r="G462" t="s">
        <v>51</v>
      </c>
      <c r="H462">
        <v>38</v>
      </c>
      <c r="I462" s="1">
        <v>40083</v>
      </c>
      <c r="J462" s="2">
        <v>127801</v>
      </c>
      <c r="K462" s="3">
        <v>0.15</v>
      </c>
      <c r="L462" t="s">
        <v>19</v>
      </c>
      <c r="M462" t="s">
        <v>39</v>
      </c>
      <c r="N462" s="1" t="s">
        <v>21</v>
      </c>
      <c r="O462" s="1" t="str">
        <f>IF(OR(TBL_Employees[[#This Row],[Exit Date]],FALSE),"Left employees", "Current employees")</f>
        <v>Current employees</v>
      </c>
    </row>
    <row r="463" spans="1:15" x14ac:dyDescent="0.35">
      <c r="A463" t="s">
        <v>1144</v>
      </c>
      <c r="B463" t="s">
        <v>1145</v>
      </c>
      <c r="C463" t="s">
        <v>89</v>
      </c>
      <c r="D463" t="s">
        <v>27</v>
      </c>
      <c r="E463" t="s">
        <v>32</v>
      </c>
      <c r="F463" t="s">
        <v>28</v>
      </c>
      <c r="G463" t="s">
        <v>47</v>
      </c>
      <c r="H463">
        <v>54</v>
      </c>
      <c r="I463" s="1">
        <v>36617</v>
      </c>
      <c r="J463" s="2">
        <v>76352</v>
      </c>
      <c r="K463" s="3">
        <v>0</v>
      </c>
      <c r="L463" t="s">
        <v>19</v>
      </c>
      <c r="M463" t="s">
        <v>25</v>
      </c>
      <c r="N463" s="1" t="s">
        <v>21</v>
      </c>
      <c r="O463" s="1" t="str">
        <f>IF(OR(TBL_Employees[[#This Row],[Exit Date]],FALSE),"Left employees", "Current employees")</f>
        <v>Current employees</v>
      </c>
    </row>
    <row r="464" spans="1:15" x14ac:dyDescent="0.35">
      <c r="A464" t="s">
        <v>1146</v>
      </c>
      <c r="B464" t="s">
        <v>1147</v>
      </c>
      <c r="C464" t="s">
        <v>14</v>
      </c>
      <c r="D464" t="s">
        <v>15</v>
      </c>
      <c r="E464" t="s">
        <v>32</v>
      </c>
      <c r="F464" t="s">
        <v>28</v>
      </c>
      <c r="G464" t="s">
        <v>18</v>
      </c>
      <c r="H464">
        <v>28</v>
      </c>
      <c r="I464" s="1">
        <v>43638</v>
      </c>
      <c r="J464" s="2">
        <v>250767</v>
      </c>
      <c r="K464" s="3">
        <v>0.38</v>
      </c>
      <c r="L464" t="s">
        <v>19</v>
      </c>
      <c r="M464" t="s">
        <v>63</v>
      </c>
      <c r="N464" s="1" t="s">
        <v>21</v>
      </c>
      <c r="O464" s="1" t="str">
        <f>IF(OR(TBL_Employees[[#This Row],[Exit Date]],FALSE),"Left employees", "Current employees")</f>
        <v>Current employees</v>
      </c>
    </row>
    <row r="465" spans="1:15" x14ac:dyDescent="0.35">
      <c r="A465" t="s">
        <v>270</v>
      </c>
      <c r="B465" t="s">
        <v>1148</v>
      </c>
      <c r="C465" t="s">
        <v>14</v>
      </c>
      <c r="D465" t="s">
        <v>43</v>
      </c>
      <c r="E465" t="s">
        <v>32</v>
      </c>
      <c r="F465" t="s">
        <v>28</v>
      </c>
      <c r="G465" t="s">
        <v>18</v>
      </c>
      <c r="H465">
        <v>26</v>
      </c>
      <c r="I465" s="1">
        <v>44101</v>
      </c>
      <c r="J465" s="2">
        <v>223055</v>
      </c>
      <c r="K465" s="3">
        <v>0.3</v>
      </c>
      <c r="L465" t="s">
        <v>19</v>
      </c>
      <c r="M465" t="s">
        <v>29</v>
      </c>
      <c r="N465" s="1" t="s">
        <v>21</v>
      </c>
      <c r="O465" s="1" t="str">
        <f>IF(OR(TBL_Employees[[#This Row],[Exit Date]],FALSE),"Left employees", "Current employees")</f>
        <v>Current employees</v>
      </c>
    </row>
    <row r="466" spans="1:15" x14ac:dyDescent="0.35">
      <c r="A466" t="s">
        <v>1149</v>
      </c>
      <c r="B466" t="s">
        <v>1150</v>
      </c>
      <c r="C466" t="s">
        <v>40</v>
      </c>
      <c r="D466" t="s">
        <v>31</v>
      </c>
      <c r="E466" t="s">
        <v>32</v>
      </c>
      <c r="F466" t="s">
        <v>28</v>
      </c>
      <c r="G466" t="s">
        <v>51</v>
      </c>
      <c r="H466">
        <v>45</v>
      </c>
      <c r="I466" s="1">
        <v>39185</v>
      </c>
      <c r="J466" s="2">
        <v>189680</v>
      </c>
      <c r="K466" s="3">
        <v>0.23</v>
      </c>
      <c r="L466" t="s">
        <v>52</v>
      </c>
      <c r="M466" t="s">
        <v>53</v>
      </c>
      <c r="N466" s="1" t="s">
        <v>21</v>
      </c>
      <c r="O466" s="1" t="str">
        <f>IF(OR(TBL_Employees[[#This Row],[Exit Date]],FALSE),"Left employees", "Current employees")</f>
        <v>Current employees</v>
      </c>
    </row>
    <row r="467" spans="1:15" x14ac:dyDescent="0.35">
      <c r="A467" t="s">
        <v>136</v>
      </c>
      <c r="B467" t="s">
        <v>1151</v>
      </c>
      <c r="C467" t="s">
        <v>58</v>
      </c>
      <c r="D467" t="s">
        <v>31</v>
      </c>
      <c r="E467" t="s">
        <v>36</v>
      </c>
      <c r="F467" t="s">
        <v>28</v>
      </c>
      <c r="G467" t="s">
        <v>18</v>
      </c>
      <c r="H467">
        <v>57</v>
      </c>
      <c r="I467" s="1">
        <v>43299</v>
      </c>
      <c r="J467" s="2">
        <v>71167</v>
      </c>
      <c r="K467" s="3">
        <v>0</v>
      </c>
      <c r="L467" t="s">
        <v>19</v>
      </c>
      <c r="M467" t="s">
        <v>29</v>
      </c>
      <c r="N467" s="1" t="s">
        <v>21</v>
      </c>
      <c r="O467" s="1" t="str">
        <f>IF(OR(TBL_Employees[[#This Row],[Exit Date]],FALSE),"Left employees", "Current employees")</f>
        <v>Current employees</v>
      </c>
    </row>
    <row r="468" spans="1:15" x14ac:dyDescent="0.35">
      <c r="A468" t="s">
        <v>1152</v>
      </c>
      <c r="B468" t="s">
        <v>1153</v>
      </c>
      <c r="C468" t="s">
        <v>55</v>
      </c>
      <c r="D468" t="s">
        <v>27</v>
      </c>
      <c r="E468" t="s">
        <v>44</v>
      </c>
      <c r="F468" t="s">
        <v>17</v>
      </c>
      <c r="G468" t="s">
        <v>18</v>
      </c>
      <c r="H468">
        <v>59</v>
      </c>
      <c r="I468" s="1">
        <v>40272</v>
      </c>
      <c r="J468" s="2">
        <v>76027</v>
      </c>
      <c r="K468" s="3">
        <v>0</v>
      </c>
      <c r="L468" t="s">
        <v>19</v>
      </c>
      <c r="M468" t="s">
        <v>63</v>
      </c>
      <c r="N468" s="1" t="s">
        <v>21</v>
      </c>
      <c r="O468" s="1" t="str">
        <f>IF(OR(TBL_Employees[[#This Row],[Exit Date]],FALSE),"Left employees", "Current employees")</f>
        <v>Current employees</v>
      </c>
    </row>
    <row r="469" spans="1:15" x14ac:dyDescent="0.35">
      <c r="A469" t="s">
        <v>389</v>
      </c>
      <c r="B469" t="s">
        <v>1154</v>
      </c>
      <c r="C469" t="s">
        <v>40</v>
      </c>
      <c r="D469" t="s">
        <v>31</v>
      </c>
      <c r="E469" t="s">
        <v>32</v>
      </c>
      <c r="F469" t="s">
        <v>28</v>
      </c>
      <c r="G469" t="s">
        <v>51</v>
      </c>
      <c r="H469">
        <v>48</v>
      </c>
      <c r="I469" s="1">
        <v>43809</v>
      </c>
      <c r="J469" s="2">
        <v>183113</v>
      </c>
      <c r="K469" s="3">
        <v>0.24</v>
      </c>
      <c r="L469" t="s">
        <v>52</v>
      </c>
      <c r="M469" t="s">
        <v>66</v>
      </c>
      <c r="N469" s="1" t="s">
        <v>21</v>
      </c>
      <c r="O469" s="1" t="str">
        <f>IF(OR(TBL_Employees[[#This Row],[Exit Date]],FALSE),"Left employees", "Current employees")</f>
        <v>Current employees</v>
      </c>
    </row>
    <row r="470" spans="1:15" x14ac:dyDescent="0.35">
      <c r="A470" t="s">
        <v>1155</v>
      </c>
      <c r="B470" t="s">
        <v>1156</v>
      </c>
      <c r="C470" t="s">
        <v>64</v>
      </c>
      <c r="D470" t="s">
        <v>65</v>
      </c>
      <c r="E470" t="s">
        <v>36</v>
      </c>
      <c r="F470" t="s">
        <v>28</v>
      </c>
      <c r="G470" t="s">
        <v>47</v>
      </c>
      <c r="H470">
        <v>30</v>
      </c>
      <c r="I470" s="1">
        <v>44124</v>
      </c>
      <c r="J470" s="2">
        <v>67753</v>
      </c>
      <c r="K470" s="3">
        <v>0</v>
      </c>
      <c r="L470" t="s">
        <v>19</v>
      </c>
      <c r="M470" t="s">
        <v>39</v>
      </c>
      <c r="N470" s="1" t="s">
        <v>21</v>
      </c>
      <c r="O470" s="1" t="str">
        <f>IF(OR(TBL_Employees[[#This Row],[Exit Date]],FALSE),"Left employees", "Current employees")</f>
        <v>Current employees</v>
      </c>
    </row>
    <row r="471" spans="1:15" x14ac:dyDescent="0.35">
      <c r="A471" t="s">
        <v>1157</v>
      </c>
      <c r="B471" t="s">
        <v>1158</v>
      </c>
      <c r="C471" t="s">
        <v>56</v>
      </c>
      <c r="D471" t="s">
        <v>27</v>
      </c>
      <c r="E471" t="s">
        <v>32</v>
      </c>
      <c r="F471" t="s">
        <v>28</v>
      </c>
      <c r="G471" t="s">
        <v>47</v>
      </c>
      <c r="H471">
        <v>31</v>
      </c>
      <c r="I471" s="1">
        <v>42656</v>
      </c>
      <c r="J471" s="2">
        <v>63744</v>
      </c>
      <c r="K471" s="3">
        <v>0.08</v>
      </c>
      <c r="L471" t="s">
        <v>19</v>
      </c>
      <c r="M471" t="s">
        <v>25</v>
      </c>
      <c r="N471" s="1" t="s">
        <v>21</v>
      </c>
      <c r="O471" s="1" t="str">
        <f>IF(OR(TBL_Employees[[#This Row],[Exit Date]],FALSE),"Left employees", "Current employees")</f>
        <v>Current employees</v>
      </c>
    </row>
    <row r="472" spans="1:15" x14ac:dyDescent="0.35">
      <c r="A472" t="s">
        <v>626</v>
      </c>
      <c r="B472" t="s">
        <v>1159</v>
      </c>
      <c r="C472" t="s">
        <v>30</v>
      </c>
      <c r="D472" t="s">
        <v>31</v>
      </c>
      <c r="E472" t="s">
        <v>36</v>
      </c>
      <c r="F472" t="s">
        <v>17</v>
      </c>
      <c r="G472" t="s">
        <v>24</v>
      </c>
      <c r="H472">
        <v>50</v>
      </c>
      <c r="I472" s="1">
        <v>37446</v>
      </c>
      <c r="J472" s="2">
        <v>92209</v>
      </c>
      <c r="K472" s="3">
        <v>0</v>
      </c>
      <c r="L472" t="s">
        <v>33</v>
      </c>
      <c r="M472" t="s">
        <v>74</v>
      </c>
      <c r="N472" s="1" t="s">
        <v>21</v>
      </c>
      <c r="O472" s="1" t="str">
        <f>IF(OR(TBL_Employees[[#This Row],[Exit Date]],FALSE),"Left employees", "Current employees")</f>
        <v>Current employees</v>
      </c>
    </row>
    <row r="473" spans="1:15" x14ac:dyDescent="0.35">
      <c r="A473" t="s">
        <v>1160</v>
      </c>
      <c r="B473" t="s">
        <v>1161</v>
      </c>
      <c r="C473" t="s">
        <v>61</v>
      </c>
      <c r="D473" t="s">
        <v>50</v>
      </c>
      <c r="E473" t="s">
        <v>32</v>
      </c>
      <c r="F473" t="s">
        <v>28</v>
      </c>
      <c r="G473" t="s">
        <v>47</v>
      </c>
      <c r="H473">
        <v>51</v>
      </c>
      <c r="I473" s="1">
        <v>36770</v>
      </c>
      <c r="J473" s="2">
        <v>157487</v>
      </c>
      <c r="K473" s="3">
        <v>0.12</v>
      </c>
      <c r="L473" t="s">
        <v>19</v>
      </c>
      <c r="M473" t="s">
        <v>39</v>
      </c>
      <c r="N473" s="1" t="s">
        <v>21</v>
      </c>
      <c r="O473" s="1" t="str">
        <f>IF(OR(TBL_Employees[[#This Row],[Exit Date]],FALSE),"Left employees", "Current employees")</f>
        <v>Current employees</v>
      </c>
    </row>
    <row r="474" spans="1:15" x14ac:dyDescent="0.35">
      <c r="A474" t="s">
        <v>1162</v>
      </c>
      <c r="B474" t="s">
        <v>1163</v>
      </c>
      <c r="C474" t="s">
        <v>42</v>
      </c>
      <c r="D474" t="s">
        <v>43</v>
      </c>
      <c r="E474" t="s">
        <v>16</v>
      </c>
      <c r="F474" t="s">
        <v>28</v>
      </c>
      <c r="G474" t="s">
        <v>51</v>
      </c>
      <c r="H474">
        <v>42</v>
      </c>
      <c r="I474" s="1">
        <v>42101</v>
      </c>
      <c r="J474" s="2">
        <v>99697</v>
      </c>
      <c r="K474" s="3">
        <v>0</v>
      </c>
      <c r="L474" t="s">
        <v>52</v>
      </c>
      <c r="M474" t="s">
        <v>66</v>
      </c>
      <c r="N474" s="1" t="s">
        <v>21</v>
      </c>
      <c r="O474" s="1" t="str">
        <f>IF(OR(TBL_Employees[[#This Row],[Exit Date]],FALSE),"Left employees", "Current employees")</f>
        <v>Current employees</v>
      </c>
    </row>
    <row r="475" spans="1:15" x14ac:dyDescent="0.35">
      <c r="A475" t="s">
        <v>339</v>
      </c>
      <c r="B475" t="s">
        <v>1164</v>
      </c>
      <c r="C475" t="s">
        <v>89</v>
      </c>
      <c r="D475" t="s">
        <v>27</v>
      </c>
      <c r="E475" t="s">
        <v>16</v>
      </c>
      <c r="F475" t="s">
        <v>28</v>
      </c>
      <c r="G475" t="s">
        <v>24</v>
      </c>
      <c r="H475">
        <v>45</v>
      </c>
      <c r="I475" s="1">
        <v>40235</v>
      </c>
      <c r="J475" s="2">
        <v>90770</v>
      </c>
      <c r="K475" s="3">
        <v>0</v>
      </c>
      <c r="L475" t="s">
        <v>19</v>
      </c>
      <c r="M475" t="s">
        <v>29</v>
      </c>
      <c r="N475" s="1" t="s">
        <v>21</v>
      </c>
      <c r="O475" s="1" t="str">
        <f>IF(OR(TBL_Employees[[#This Row],[Exit Date]],FALSE),"Left employees", "Current employees")</f>
        <v>Current employees</v>
      </c>
    </row>
    <row r="476" spans="1:15" x14ac:dyDescent="0.35">
      <c r="A476" t="s">
        <v>154</v>
      </c>
      <c r="B476" t="s">
        <v>1165</v>
      </c>
      <c r="C476" t="s">
        <v>68</v>
      </c>
      <c r="D476" t="s">
        <v>50</v>
      </c>
      <c r="E476" t="s">
        <v>44</v>
      </c>
      <c r="F476" t="s">
        <v>17</v>
      </c>
      <c r="G476" t="s">
        <v>24</v>
      </c>
      <c r="H476">
        <v>64</v>
      </c>
      <c r="I476" s="1">
        <v>38380</v>
      </c>
      <c r="J476" s="2">
        <v>55369</v>
      </c>
      <c r="K476" s="3">
        <v>0</v>
      </c>
      <c r="L476" t="s">
        <v>19</v>
      </c>
      <c r="M476" t="s">
        <v>39</v>
      </c>
      <c r="N476" s="1" t="s">
        <v>21</v>
      </c>
      <c r="O476" s="1" t="str">
        <f>IF(OR(TBL_Employees[[#This Row],[Exit Date]],FALSE),"Left employees", "Current employees")</f>
        <v>Current employees</v>
      </c>
    </row>
    <row r="477" spans="1:15" x14ac:dyDescent="0.35">
      <c r="A477" t="s">
        <v>303</v>
      </c>
      <c r="B477" t="s">
        <v>1166</v>
      </c>
      <c r="C477" t="s">
        <v>129</v>
      </c>
      <c r="D477" t="s">
        <v>31</v>
      </c>
      <c r="E477" t="s">
        <v>44</v>
      </c>
      <c r="F477" t="s">
        <v>17</v>
      </c>
      <c r="G477" t="s">
        <v>51</v>
      </c>
      <c r="H477">
        <v>59</v>
      </c>
      <c r="I477" s="1">
        <v>41898</v>
      </c>
      <c r="J477" s="2">
        <v>69578</v>
      </c>
      <c r="K477" s="3">
        <v>0</v>
      </c>
      <c r="L477" t="s">
        <v>52</v>
      </c>
      <c r="M477" t="s">
        <v>66</v>
      </c>
      <c r="N477" s="1" t="s">
        <v>21</v>
      </c>
      <c r="O477" s="1" t="str">
        <f>IF(OR(TBL_Employees[[#This Row],[Exit Date]],FALSE),"Left employees", "Current employees")</f>
        <v>Current employees</v>
      </c>
    </row>
    <row r="478" spans="1:15" x14ac:dyDescent="0.35">
      <c r="A478" t="s">
        <v>1167</v>
      </c>
      <c r="B478" t="s">
        <v>1168</v>
      </c>
      <c r="C478" t="s">
        <v>40</v>
      </c>
      <c r="D478" t="s">
        <v>65</v>
      </c>
      <c r="E478" t="s">
        <v>44</v>
      </c>
      <c r="F478" t="s">
        <v>28</v>
      </c>
      <c r="G478" t="s">
        <v>18</v>
      </c>
      <c r="H478">
        <v>41</v>
      </c>
      <c r="I478" s="1">
        <v>41429</v>
      </c>
      <c r="J478" s="2">
        <v>167526</v>
      </c>
      <c r="K478" s="3">
        <v>0.26</v>
      </c>
      <c r="L478" t="s">
        <v>19</v>
      </c>
      <c r="M478" t="s">
        <v>45</v>
      </c>
      <c r="N478" s="1" t="s">
        <v>21</v>
      </c>
      <c r="O478" s="1" t="str">
        <f>IF(OR(TBL_Employees[[#This Row],[Exit Date]],FALSE),"Left employees", "Current employees")</f>
        <v>Current employees</v>
      </c>
    </row>
    <row r="479" spans="1:15" x14ac:dyDescent="0.35">
      <c r="A479" t="s">
        <v>107</v>
      </c>
      <c r="B479" t="s">
        <v>1169</v>
      </c>
      <c r="C479" t="s">
        <v>129</v>
      </c>
      <c r="D479" t="s">
        <v>31</v>
      </c>
      <c r="E479" t="s">
        <v>44</v>
      </c>
      <c r="F479" t="s">
        <v>17</v>
      </c>
      <c r="G479" t="s">
        <v>51</v>
      </c>
      <c r="H479">
        <v>42</v>
      </c>
      <c r="I479" s="1">
        <v>44232</v>
      </c>
      <c r="J479" s="2">
        <v>65507</v>
      </c>
      <c r="K479" s="3">
        <v>0</v>
      </c>
      <c r="L479" t="s">
        <v>52</v>
      </c>
      <c r="M479" t="s">
        <v>81</v>
      </c>
      <c r="N479" s="1" t="s">
        <v>21</v>
      </c>
      <c r="O479" s="1" t="str">
        <f>IF(OR(TBL_Employees[[#This Row],[Exit Date]],FALSE),"Left employees", "Current employees")</f>
        <v>Current employees</v>
      </c>
    </row>
    <row r="480" spans="1:15" x14ac:dyDescent="0.35">
      <c r="A480" t="s">
        <v>1170</v>
      </c>
      <c r="B480" t="s">
        <v>1171</v>
      </c>
      <c r="C480" t="s">
        <v>62</v>
      </c>
      <c r="D480" t="s">
        <v>15</v>
      </c>
      <c r="E480" t="s">
        <v>16</v>
      </c>
      <c r="F480" t="s">
        <v>28</v>
      </c>
      <c r="G480" t="s">
        <v>51</v>
      </c>
      <c r="H480">
        <v>54</v>
      </c>
      <c r="I480" s="1">
        <v>35913</v>
      </c>
      <c r="J480" s="2">
        <v>108268</v>
      </c>
      <c r="K480" s="3">
        <v>0.09</v>
      </c>
      <c r="L480" t="s">
        <v>52</v>
      </c>
      <c r="M480" t="s">
        <v>53</v>
      </c>
      <c r="N480" s="1">
        <v>38122</v>
      </c>
      <c r="O480" s="1" t="str">
        <f>IF(OR(TBL_Employees[[#This Row],[Exit Date]],FALSE),"Left employees", "Current employees")</f>
        <v>Left employees</v>
      </c>
    </row>
    <row r="481" spans="1:15" x14ac:dyDescent="0.35">
      <c r="A481" t="s">
        <v>188</v>
      </c>
      <c r="B481" t="s">
        <v>1172</v>
      </c>
      <c r="C481" t="s">
        <v>55</v>
      </c>
      <c r="D481" t="s">
        <v>27</v>
      </c>
      <c r="E481" t="s">
        <v>16</v>
      </c>
      <c r="F481" t="s">
        <v>28</v>
      </c>
      <c r="G481" t="s">
        <v>24</v>
      </c>
      <c r="H481">
        <v>37</v>
      </c>
      <c r="I481" s="1">
        <v>42405</v>
      </c>
      <c r="J481" s="2">
        <v>80055</v>
      </c>
      <c r="K481" s="3">
        <v>0</v>
      </c>
      <c r="L481" t="s">
        <v>33</v>
      </c>
      <c r="M481" t="s">
        <v>60</v>
      </c>
      <c r="N481" s="1" t="s">
        <v>21</v>
      </c>
      <c r="O481" s="1" t="str">
        <f>IF(OR(TBL_Employees[[#This Row],[Exit Date]],FALSE),"Left employees", "Current employees")</f>
        <v>Current employees</v>
      </c>
    </row>
    <row r="482" spans="1:15" x14ac:dyDescent="0.35">
      <c r="A482" t="s">
        <v>1173</v>
      </c>
      <c r="B482" t="s">
        <v>1174</v>
      </c>
      <c r="C482" t="s">
        <v>42</v>
      </c>
      <c r="D482" t="s">
        <v>50</v>
      </c>
      <c r="E482" t="s">
        <v>16</v>
      </c>
      <c r="F482" t="s">
        <v>28</v>
      </c>
      <c r="G482" t="s">
        <v>51</v>
      </c>
      <c r="H482">
        <v>58</v>
      </c>
      <c r="I482" s="1">
        <v>39930</v>
      </c>
      <c r="J482" s="2">
        <v>76802</v>
      </c>
      <c r="K482" s="3">
        <v>0</v>
      </c>
      <c r="L482" t="s">
        <v>52</v>
      </c>
      <c r="M482" t="s">
        <v>81</v>
      </c>
      <c r="N482" s="1" t="s">
        <v>21</v>
      </c>
      <c r="O482" s="1" t="str">
        <f>IF(OR(TBL_Employees[[#This Row],[Exit Date]],FALSE),"Left employees", "Current employees")</f>
        <v>Current employees</v>
      </c>
    </row>
    <row r="483" spans="1:15" x14ac:dyDescent="0.35">
      <c r="A483" t="s">
        <v>128</v>
      </c>
      <c r="B483" t="s">
        <v>1175</v>
      </c>
      <c r="C483" t="s">
        <v>14</v>
      </c>
      <c r="D483" t="s">
        <v>50</v>
      </c>
      <c r="E483" t="s">
        <v>44</v>
      </c>
      <c r="F483" t="s">
        <v>28</v>
      </c>
      <c r="G483" t="s">
        <v>24</v>
      </c>
      <c r="H483">
        <v>47</v>
      </c>
      <c r="I483" s="1">
        <v>42696</v>
      </c>
      <c r="J483" s="2">
        <v>253249</v>
      </c>
      <c r="K483" s="3">
        <v>0.31</v>
      </c>
      <c r="L483" t="s">
        <v>19</v>
      </c>
      <c r="M483" t="s">
        <v>25</v>
      </c>
      <c r="N483" s="1" t="s">
        <v>21</v>
      </c>
      <c r="O483" s="1" t="str">
        <f>IF(OR(TBL_Employees[[#This Row],[Exit Date]],FALSE),"Left employees", "Current employees")</f>
        <v>Current employees</v>
      </c>
    </row>
    <row r="484" spans="1:15" x14ac:dyDescent="0.35">
      <c r="A484" t="s">
        <v>481</v>
      </c>
      <c r="B484" t="s">
        <v>1176</v>
      </c>
      <c r="C484" t="s">
        <v>77</v>
      </c>
      <c r="D484" t="s">
        <v>23</v>
      </c>
      <c r="E484" t="s">
        <v>16</v>
      </c>
      <c r="F484" t="s">
        <v>17</v>
      </c>
      <c r="G484" t="s">
        <v>24</v>
      </c>
      <c r="H484">
        <v>60</v>
      </c>
      <c r="I484" s="1">
        <v>38667</v>
      </c>
      <c r="J484" s="2">
        <v>78388</v>
      </c>
      <c r="K484" s="3">
        <v>0</v>
      </c>
      <c r="L484" t="s">
        <v>33</v>
      </c>
      <c r="M484" t="s">
        <v>80</v>
      </c>
      <c r="N484" s="1" t="s">
        <v>21</v>
      </c>
      <c r="O484" s="1" t="str">
        <f>IF(OR(TBL_Employees[[#This Row],[Exit Date]],FALSE),"Left employees", "Current employees")</f>
        <v>Current employees</v>
      </c>
    </row>
    <row r="485" spans="1:15" x14ac:dyDescent="0.35">
      <c r="A485" t="s">
        <v>785</v>
      </c>
      <c r="B485" t="s">
        <v>1177</v>
      </c>
      <c r="C485" t="s">
        <v>14</v>
      </c>
      <c r="D485" t="s">
        <v>27</v>
      </c>
      <c r="E485" t="s">
        <v>32</v>
      </c>
      <c r="F485" t="s">
        <v>28</v>
      </c>
      <c r="G485" t="s">
        <v>18</v>
      </c>
      <c r="H485">
        <v>38</v>
      </c>
      <c r="I485" s="1">
        <v>42543</v>
      </c>
      <c r="J485" s="2">
        <v>249870</v>
      </c>
      <c r="K485" s="3">
        <v>0.34</v>
      </c>
      <c r="L485" t="s">
        <v>19</v>
      </c>
      <c r="M485" t="s">
        <v>20</v>
      </c>
      <c r="N485" s="1" t="s">
        <v>21</v>
      </c>
      <c r="O485" s="1" t="str">
        <f>IF(OR(TBL_Employees[[#This Row],[Exit Date]],FALSE),"Left employees", "Current employees")</f>
        <v>Current employees</v>
      </c>
    </row>
    <row r="486" spans="1:15" x14ac:dyDescent="0.35">
      <c r="A486" t="s">
        <v>952</v>
      </c>
      <c r="B486" t="s">
        <v>1178</v>
      </c>
      <c r="C486" t="s">
        <v>61</v>
      </c>
      <c r="D486" t="s">
        <v>43</v>
      </c>
      <c r="E486" t="s">
        <v>36</v>
      </c>
      <c r="F486" t="s">
        <v>28</v>
      </c>
      <c r="G486" t="s">
        <v>24</v>
      </c>
      <c r="H486">
        <v>63</v>
      </c>
      <c r="I486" s="1">
        <v>42064</v>
      </c>
      <c r="J486" s="2">
        <v>148321</v>
      </c>
      <c r="K486" s="3">
        <v>0.15</v>
      </c>
      <c r="L486" t="s">
        <v>33</v>
      </c>
      <c r="M486" t="s">
        <v>60</v>
      </c>
      <c r="N486" s="1" t="s">
        <v>21</v>
      </c>
      <c r="O486" s="1" t="str">
        <f>IF(OR(TBL_Employees[[#This Row],[Exit Date]],FALSE),"Left employees", "Current employees")</f>
        <v>Current employees</v>
      </c>
    </row>
    <row r="487" spans="1:15" x14ac:dyDescent="0.35">
      <c r="A487" t="s">
        <v>1179</v>
      </c>
      <c r="B487" t="s">
        <v>1180</v>
      </c>
      <c r="C487" t="s">
        <v>82</v>
      </c>
      <c r="D487" t="s">
        <v>27</v>
      </c>
      <c r="E487" t="s">
        <v>32</v>
      </c>
      <c r="F487" t="s">
        <v>17</v>
      </c>
      <c r="G487" t="s">
        <v>24</v>
      </c>
      <c r="H487">
        <v>60</v>
      </c>
      <c r="I487" s="1">
        <v>38027</v>
      </c>
      <c r="J487" s="2">
        <v>90258</v>
      </c>
      <c r="K487" s="3">
        <v>0</v>
      </c>
      <c r="L487" t="s">
        <v>33</v>
      </c>
      <c r="M487" t="s">
        <v>80</v>
      </c>
      <c r="N487" s="1" t="s">
        <v>21</v>
      </c>
      <c r="O487" s="1" t="str">
        <f>IF(OR(TBL_Employees[[#This Row],[Exit Date]],FALSE),"Left employees", "Current employees")</f>
        <v>Current employees</v>
      </c>
    </row>
    <row r="488" spans="1:15" x14ac:dyDescent="0.35">
      <c r="A488" t="s">
        <v>1181</v>
      </c>
      <c r="B488" t="s">
        <v>1182</v>
      </c>
      <c r="C488" t="s">
        <v>98</v>
      </c>
      <c r="D488" t="s">
        <v>27</v>
      </c>
      <c r="E488" t="s">
        <v>36</v>
      </c>
      <c r="F488" t="s">
        <v>17</v>
      </c>
      <c r="G488" t="s">
        <v>47</v>
      </c>
      <c r="H488">
        <v>42</v>
      </c>
      <c r="I488" s="1">
        <v>40593</v>
      </c>
      <c r="J488" s="2">
        <v>72486</v>
      </c>
      <c r="K488" s="3">
        <v>0</v>
      </c>
      <c r="L488" t="s">
        <v>19</v>
      </c>
      <c r="M488" t="s">
        <v>63</v>
      </c>
      <c r="N488" s="1" t="s">
        <v>21</v>
      </c>
      <c r="O488" s="1" t="str">
        <f>IF(OR(TBL_Employees[[#This Row],[Exit Date]],FALSE),"Left employees", "Current employees")</f>
        <v>Current employees</v>
      </c>
    </row>
    <row r="489" spans="1:15" x14ac:dyDescent="0.35">
      <c r="A489" t="s">
        <v>1183</v>
      </c>
      <c r="B489" t="s">
        <v>1184</v>
      </c>
      <c r="C489" t="s">
        <v>42</v>
      </c>
      <c r="D489" t="s">
        <v>15</v>
      </c>
      <c r="E489" t="s">
        <v>32</v>
      </c>
      <c r="F489" t="s">
        <v>28</v>
      </c>
      <c r="G489" t="s">
        <v>51</v>
      </c>
      <c r="H489">
        <v>34</v>
      </c>
      <c r="I489" s="1">
        <v>41886</v>
      </c>
      <c r="J489" s="2">
        <v>95499</v>
      </c>
      <c r="K489" s="3">
        <v>0</v>
      </c>
      <c r="L489" t="s">
        <v>52</v>
      </c>
      <c r="M489" t="s">
        <v>53</v>
      </c>
      <c r="N489" s="1">
        <v>42958</v>
      </c>
      <c r="O489" s="1" t="str">
        <f>IF(OR(TBL_Employees[[#This Row],[Exit Date]],FALSE),"Left employees", "Current employees")</f>
        <v>Left employees</v>
      </c>
    </row>
    <row r="490" spans="1:15" x14ac:dyDescent="0.35">
      <c r="A490" t="s">
        <v>1185</v>
      </c>
      <c r="B490" t="s">
        <v>386</v>
      </c>
      <c r="C490" t="s">
        <v>42</v>
      </c>
      <c r="D490" t="s">
        <v>65</v>
      </c>
      <c r="E490" t="s">
        <v>16</v>
      </c>
      <c r="F490" t="s">
        <v>17</v>
      </c>
      <c r="G490" t="s">
        <v>51</v>
      </c>
      <c r="H490">
        <v>53</v>
      </c>
      <c r="I490" s="1">
        <v>38344</v>
      </c>
      <c r="J490" s="2">
        <v>90212</v>
      </c>
      <c r="K490" s="3">
        <v>0</v>
      </c>
      <c r="L490" t="s">
        <v>52</v>
      </c>
      <c r="M490" t="s">
        <v>53</v>
      </c>
      <c r="N490" s="1" t="s">
        <v>21</v>
      </c>
      <c r="O490" s="1" t="str">
        <f>IF(OR(TBL_Employees[[#This Row],[Exit Date]],FALSE),"Left employees", "Current employees")</f>
        <v>Current employees</v>
      </c>
    </row>
    <row r="491" spans="1:15" x14ac:dyDescent="0.35">
      <c r="A491" t="s">
        <v>137</v>
      </c>
      <c r="B491" t="s">
        <v>1186</v>
      </c>
      <c r="C491" t="s">
        <v>14</v>
      </c>
      <c r="D491" t="s">
        <v>43</v>
      </c>
      <c r="E491" t="s">
        <v>16</v>
      </c>
      <c r="F491" t="s">
        <v>28</v>
      </c>
      <c r="G491" t="s">
        <v>24</v>
      </c>
      <c r="H491">
        <v>39</v>
      </c>
      <c r="I491" s="1">
        <v>43804</v>
      </c>
      <c r="J491" s="2">
        <v>254057</v>
      </c>
      <c r="K491" s="3">
        <v>0.39</v>
      </c>
      <c r="L491" t="s">
        <v>33</v>
      </c>
      <c r="M491" t="s">
        <v>74</v>
      </c>
      <c r="N491" s="1" t="s">
        <v>21</v>
      </c>
      <c r="O491" s="1" t="str">
        <f>IF(OR(TBL_Employees[[#This Row],[Exit Date]],FALSE),"Left employees", "Current employees")</f>
        <v>Current employees</v>
      </c>
    </row>
    <row r="492" spans="1:15" x14ac:dyDescent="0.35">
      <c r="A492" t="s">
        <v>1187</v>
      </c>
      <c r="B492" t="s">
        <v>1188</v>
      </c>
      <c r="C492" t="s">
        <v>83</v>
      </c>
      <c r="D492" t="s">
        <v>23</v>
      </c>
      <c r="E492" t="s">
        <v>36</v>
      </c>
      <c r="F492" t="s">
        <v>17</v>
      </c>
      <c r="G492" t="s">
        <v>51</v>
      </c>
      <c r="H492">
        <v>58</v>
      </c>
      <c r="I492" s="1">
        <v>40463</v>
      </c>
      <c r="J492" s="2">
        <v>43001</v>
      </c>
      <c r="K492" s="3">
        <v>0</v>
      </c>
      <c r="L492" t="s">
        <v>19</v>
      </c>
      <c r="M492" t="s">
        <v>25</v>
      </c>
      <c r="N492" s="1" t="s">
        <v>21</v>
      </c>
      <c r="O492" s="1" t="str">
        <f>IF(OR(TBL_Employees[[#This Row],[Exit Date]],FALSE),"Left employees", "Current employees")</f>
        <v>Current employees</v>
      </c>
    </row>
    <row r="493" spans="1:15" x14ac:dyDescent="0.35">
      <c r="A493" t="s">
        <v>375</v>
      </c>
      <c r="B493" t="s">
        <v>1189</v>
      </c>
      <c r="C493" t="s">
        <v>56</v>
      </c>
      <c r="D493" t="s">
        <v>27</v>
      </c>
      <c r="E493" t="s">
        <v>36</v>
      </c>
      <c r="F493" t="s">
        <v>28</v>
      </c>
      <c r="G493" t="s">
        <v>51</v>
      </c>
      <c r="H493">
        <v>60</v>
      </c>
      <c r="I493" s="1">
        <v>36010</v>
      </c>
      <c r="J493" s="2">
        <v>85120</v>
      </c>
      <c r="K493" s="3">
        <v>0.09</v>
      </c>
      <c r="L493" t="s">
        <v>19</v>
      </c>
      <c r="M493" t="s">
        <v>63</v>
      </c>
      <c r="N493" s="1" t="s">
        <v>21</v>
      </c>
      <c r="O493" s="1" t="str">
        <f>IF(OR(TBL_Employees[[#This Row],[Exit Date]],FALSE),"Left employees", "Current employees")</f>
        <v>Current employees</v>
      </c>
    </row>
    <row r="494" spans="1:15" x14ac:dyDescent="0.35">
      <c r="A494" t="s">
        <v>1190</v>
      </c>
      <c r="B494" t="s">
        <v>1191</v>
      </c>
      <c r="C494" t="s">
        <v>83</v>
      </c>
      <c r="D494" t="s">
        <v>23</v>
      </c>
      <c r="E494" t="s">
        <v>36</v>
      </c>
      <c r="F494" t="s">
        <v>28</v>
      </c>
      <c r="G494" t="s">
        <v>51</v>
      </c>
      <c r="H494">
        <v>34</v>
      </c>
      <c r="I494" s="1">
        <v>42219</v>
      </c>
      <c r="J494" s="2">
        <v>52200</v>
      </c>
      <c r="K494" s="3">
        <v>0</v>
      </c>
      <c r="L494" t="s">
        <v>19</v>
      </c>
      <c r="M494" t="s">
        <v>29</v>
      </c>
      <c r="N494" s="1" t="s">
        <v>21</v>
      </c>
      <c r="O494" s="1" t="str">
        <f>IF(OR(TBL_Employees[[#This Row],[Exit Date]],FALSE),"Left employees", "Current employees")</f>
        <v>Current employees</v>
      </c>
    </row>
    <row r="495" spans="1:15" x14ac:dyDescent="0.35">
      <c r="A495" t="s">
        <v>1192</v>
      </c>
      <c r="B495" t="s">
        <v>1193</v>
      </c>
      <c r="C495" t="s">
        <v>61</v>
      </c>
      <c r="D495" t="s">
        <v>23</v>
      </c>
      <c r="E495" t="s">
        <v>32</v>
      </c>
      <c r="F495" t="s">
        <v>17</v>
      </c>
      <c r="G495" t="s">
        <v>18</v>
      </c>
      <c r="H495">
        <v>60</v>
      </c>
      <c r="I495" s="1">
        <v>39739</v>
      </c>
      <c r="J495" s="2">
        <v>150855</v>
      </c>
      <c r="K495" s="3">
        <v>0.11</v>
      </c>
      <c r="L495" t="s">
        <v>19</v>
      </c>
      <c r="M495" t="s">
        <v>39</v>
      </c>
      <c r="N495" s="1" t="s">
        <v>21</v>
      </c>
      <c r="O495" s="1" t="str">
        <f>IF(OR(TBL_Employees[[#This Row],[Exit Date]],FALSE),"Left employees", "Current employees")</f>
        <v>Current employees</v>
      </c>
    </row>
    <row r="496" spans="1:15" x14ac:dyDescent="0.35">
      <c r="A496" t="s">
        <v>1194</v>
      </c>
      <c r="B496" t="s">
        <v>1195</v>
      </c>
      <c r="C496" t="s">
        <v>26</v>
      </c>
      <c r="D496" t="s">
        <v>27</v>
      </c>
      <c r="E496" t="s">
        <v>36</v>
      </c>
      <c r="F496" t="s">
        <v>17</v>
      </c>
      <c r="G496" t="s">
        <v>51</v>
      </c>
      <c r="H496">
        <v>53</v>
      </c>
      <c r="I496" s="1">
        <v>38188</v>
      </c>
      <c r="J496" s="2">
        <v>65702</v>
      </c>
      <c r="K496" s="3">
        <v>0</v>
      </c>
      <c r="L496" t="s">
        <v>19</v>
      </c>
      <c r="M496" t="s">
        <v>29</v>
      </c>
      <c r="N496" s="1" t="s">
        <v>21</v>
      </c>
      <c r="O496" s="1" t="str">
        <f>IF(OR(TBL_Employees[[#This Row],[Exit Date]],FALSE),"Left employees", "Current employees")</f>
        <v>Current employees</v>
      </c>
    </row>
    <row r="497" spans="1:15" x14ac:dyDescent="0.35">
      <c r="A497" t="s">
        <v>1196</v>
      </c>
      <c r="B497" t="s">
        <v>1197</v>
      </c>
      <c r="C497" t="s">
        <v>40</v>
      </c>
      <c r="D497" t="s">
        <v>15</v>
      </c>
      <c r="E497" t="s">
        <v>32</v>
      </c>
      <c r="F497" t="s">
        <v>28</v>
      </c>
      <c r="G497" t="s">
        <v>24</v>
      </c>
      <c r="H497">
        <v>58</v>
      </c>
      <c r="I497" s="1">
        <v>39367</v>
      </c>
      <c r="J497" s="2">
        <v>162038</v>
      </c>
      <c r="K497" s="3">
        <v>0.24</v>
      </c>
      <c r="L497" t="s">
        <v>33</v>
      </c>
      <c r="M497" t="s">
        <v>80</v>
      </c>
      <c r="N497" s="1" t="s">
        <v>21</v>
      </c>
      <c r="O497" s="1" t="str">
        <f>IF(OR(TBL_Employees[[#This Row],[Exit Date]],FALSE),"Left employees", "Current employees")</f>
        <v>Current employees</v>
      </c>
    </row>
    <row r="498" spans="1:15" x14ac:dyDescent="0.35">
      <c r="A498" t="s">
        <v>1198</v>
      </c>
      <c r="B498" t="s">
        <v>1199</v>
      </c>
      <c r="C498" t="s">
        <v>61</v>
      </c>
      <c r="D498" t="s">
        <v>43</v>
      </c>
      <c r="E498" t="s">
        <v>16</v>
      </c>
      <c r="F498" t="s">
        <v>17</v>
      </c>
      <c r="G498" t="s">
        <v>24</v>
      </c>
      <c r="H498">
        <v>25</v>
      </c>
      <c r="I498" s="1">
        <v>43930</v>
      </c>
      <c r="J498" s="2">
        <v>157057</v>
      </c>
      <c r="K498" s="3">
        <v>0.1</v>
      </c>
      <c r="L498" t="s">
        <v>19</v>
      </c>
      <c r="M498" t="s">
        <v>29</v>
      </c>
      <c r="N498" s="1" t="s">
        <v>21</v>
      </c>
      <c r="O498" s="1" t="str">
        <f>IF(OR(TBL_Employees[[#This Row],[Exit Date]],FALSE),"Left employees", "Current employees")</f>
        <v>Current employees</v>
      </c>
    </row>
    <row r="499" spans="1:15" x14ac:dyDescent="0.35">
      <c r="A499" t="s">
        <v>1200</v>
      </c>
      <c r="B499" t="s">
        <v>1201</v>
      </c>
      <c r="C499" t="s">
        <v>62</v>
      </c>
      <c r="D499" t="s">
        <v>27</v>
      </c>
      <c r="E499" t="s">
        <v>16</v>
      </c>
      <c r="F499" t="s">
        <v>28</v>
      </c>
      <c r="G499" t="s">
        <v>18</v>
      </c>
      <c r="H499">
        <v>46</v>
      </c>
      <c r="I499" s="1">
        <v>44419</v>
      </c>
      <c r="J499" s="2">
        <v>127559</v>
      </c>
      <c r="K499" s="3">
        <v>0.1</v>
      </c>
      <c r="L499" t="s">
        <v>19</v>
      </c>
      <c r="M499" t="s">
        <v>25</v>
      </c>
      <c r="N499" s="1" t="s">
        <v>21</v>
      </c>
      <c r="O499" s="1" t="str">
        <f>IF(OR(TBL_Employees[[#This Row],[Exit Date]],FALSE),"Left employees", "Current employees")</f>
        <v>Current employees</v>
      </c>
    </row>
    <row r="500" spans="1:15" x14ac:dyDescent="0.35">
      <c r="A500" t="s">
        <v>1202</v>
      </c>
      <c r="B500" t="s">
        <v>1203</v>
      </c>
      <c r="C500" t="s">
        <v>129</v>
      </c>
      <c r="D500" t="s">
        <v>31</v>
      </c>
      <c r="E500" t="s">
        <v>32</v>
      </c>
      <c r="F500" t="s">
        <v>17</v>
      </c>
      <c r="G500" t="s">
        <v>18</v>
      </c>
      <c r="H500">
        <v>39</v>
      </c>
      <c r="I500" s="1">
        <v>43536</v>
      </c>
      <c r="J500" s="2">
        <v>62644</v>
      </c>
      <c r="K500" s="3">
        <v>0</v>
      </c>
      <c r="L500" t="s">
        <v>19</v>
      </c>
      <c r="M500" t="s">
        <v>63</v>
      </c>
      <c r="N500" s="1" t="s">
        <v>21</v>
      </c>
      <c r="O500" s="1" t="str">
        <f>IF(OR(TBL_Employees[[#This Row],[Exit Date]],FALSE),"Left employees", "Current employees")</f>
        <v>Current employees</v>
      </c>
    </row>
    <row r="501" spans="1:15" x14ac:dyDescent="0.35">
      <c r="A501" t="s">
        <v>374</v>
      </c>
      <c r="B501" t="s">
        <v>265</v>
      </c>
      <c r="C501" t="s">
        <v>71</v>
      </c>
      <c r="D501" t="s">
        <v>27</v>
      </c>
      <c r="E501" t="s">
        <v>36</v>
      </c>
      <c r="F501" t="s">
        <v>28</v>
      </c>
      <c r="G501" t="s">
        <v>24</v>
      </c>
      <c r="H501">
        <v>50</v>
      </c>
      <c r="I501" s="1">
        <v>36956</v>
      </c>
      <c r="J501" s="2">
        <v>73907</v>
      </c>
      <c r="K501" s="3">
        <v>0</v>
      </c>
      <c r="L501" t="s">
        <v>33</v>
      </c>
      <c r="M501" t="s">
        <v>74</v>
      </c>
      <c r="N501" s="1" t="s">
        <v>21</v>
      </c>
      <c r="O501" s="1" t="str">
        <f>IF(OR(TBL_Employees[[#This Row],[Exit Date]],FALSE),"Left employees", "Current employees")</f>
        <v>Current employees</v>
      </c>
    </row>
    <row r="502" spans="1:15" x14ac:dyDescent="0.35">
      <c r="A502" t="s">
        <v>143</v>
      </c>
      <c r="B502" t="s">
        <v>1204</v>
      </c>
      <c r="C502" t="s">
        <v>42</v>
      </c>
      <c r="D502" t="s">
        <v>65</v>
      </c>
      <c r="E502" t="s">
        <v>36</v>
      </c>
      <c r="F502" t="s">
        <v>17</v>
      </c>
      <c r="G502" t="s">
        <v>18</v>
      </c>
      <c r="H502">
        <v>56</v>
      </c>
      <c r="I502" s="1">
        <v>43169</v>
      </c>
      <c r="J502" s="2">
        <v>90040</v>
      </c>
      <c r="K502" s="3">
        <v>0</v>
      </c>
      <c r="L502" t="s">
        <v>19</v>
      </c>
      <c r="M502" t="s">
        <v>20</v>
      </c>
      <c r="N502" s="1" t="s">
        <v>21</v>
      </c>
      <c r="O502" s="1" t="str">
        <f>IF(OR(TBL_Employees[[#This Row],[Exit Date]],FALSE),"Left employees", "Current employees")</f>
        <v>Current employees</v>
      </c>
    </row>
    <row r="503" spans="1:15" x14ac:dyDescent="0.35">
      <c r="A503" t="s">
        <v>1205</v>
      </c>
      <c r="B503" t="s">
        <v>1206</v>
      </c>
      <c r="C503" t="s">
        <v>86</v>
      </c>
      <c r="D503" t="s">
        <v>31</v>
      </c>
      <c r="E503" t="s">
        <v>36</v>
      </c>
      <c r="F503" t="s">
        <v>17</v>
      </c>
      <c r="G503" t="s">
        <v>51</v>
      </c>
      <c r="H503">
        <v>30</v>
      </c>
      <c r="I503" s="1">
        <v>42516</v>
      </c>
      <c r="J503" s="2">
        <v>91134</v>
      </c>
      <c r="K503" s="3">
        <v>0</v>
      </c>
      <c r="L503" t="s">
        <v>52</v>
      </c>
      <c r="M503" t="s">
        <v>53</v>
      </c>
      <c r="N503" s="1" t="s">
        <v>21</v>
      </c>
      <c r="O503" s="1" t="str">
        <f>IF(OR(TBL_Employees[[#This Row],[Exit Date]],FALSE),"Left employees", "Current employees")</f>
        <v>Current employees</v>
      </c>
    </row>
    <row r="504" spans="1:15" x14ac:dyDescent="0.35">
      <c r="A504" t="s">
        <v>1207</v>
      </c>
      <c r="B504" t="s">
        <v>1208</v>
      </c>
      <c r="C504" t="s">
        <v>14</v>
      </c>
      <c r="D504" t="s">
        <v>23</v>
      </c>
      <c r="E504" t="s">
        <v>44</v>
      </c>
      <c r="F504" t="s">
        <v>17</v>
      </c>
      <c r="G504" t="s">
        <v>24</v>
      </c>
      <c r="H504">
        <v>45</v>
      </c>
      <c r="I504" s="1">
        <v>44461</v>
      </c>
      <c r="J504" s="2">
        <v>201396</v>
      </c>
      <c r="K504" s="3">
        <v>0.32</v>
      </c>
      <c r="L504" t="s">
        <v>19</v>
      </c>
      <c r="M504" t="s">
        <v>45</v>
      </c>
      <c r="N504" s="1" t="s">
        <v>21</v>
      </c>
      <c r="O504" s="1" t="str">
        <f>IF(OR(TBL_Employees[[#This Row],[Exit Date]],FALSE),"Left employees", "Current employees")</f>
        <v>Current employees</v>
      </c>
    </row>
    <row r="505" spans="1:15" x14ac:dyDescent="0.35">
      <c r="A505" t="s">
        <v>1209</v>
      </c>
      <c r="B505" t="s">
        <v>401</v>
      </c>
      <c r="C505" t="s">
        <v>68</v>
      </c>
      <c r="D505" t="s">
        <v>65</v>
      </c>
      <c r="E505" t="s">
        <v>32</v>
      </c>
      <c r="F505" t="s">
        <v>17</v>
      </c>
      <c r="G505" t="s">
        <v>24</v>
      </c>
      <c r="H505">
        <v>55</v>
      </c>
      <c r="I505" s="1">
        <v>40899</v>
      </c>
      <c r="J505" s="2">
        <v>54733</v>
      </c>
      <c r="K505" s="3">
        <v>0</v>
      </c>
      <c r="L505" t="s">
        <v>33</v>
      </c>
      <c r="M505" t="s">
        <v>80</v>
      </c>
      <c r="N505" s="1" t="s">
        <v>21</v>
      </c>
      <c r="O505" s="1" t="str">
        <f>IF(OR(TBL_Employees[[#This Row],[Exit Date]],FALSE),"Left employees", "Current employees")</f>
        <v>Current employees</v>
      </c>
    </row>
    <row r="506" spans="1:15" x14ac:dyDescent="0.35">
      <c r="A506" t="s">
        <v>1210</v>
      </c>
      <c r="B506" t="s">
        <v>1211</v>
      </c>
      <c r="C506" t="s">
        <v>98</v>
      </c>
      <c r="D506" t="s">
        <v>27</v>
      </c>
      <c r="E506" t="s">
        <v>32</v>
      </c>
      <c r="F506" t="s">
        <v>28</v>
      </c>
      <c r="G506" t="s">
        <v>47</v>
      </c>
      <c r="H506">
        <v>28</v>
      </c>
      <c r="I506" s="1">
        <v>43633</v>
      </c>
      <c r="J506" s="2">
        <v>65341</v>
      </c>
      <c r="K506" s="3">
        <v>0</v>
      </c>
      <c r="L506" t="s">
        <v>19</v>
      </c>
      <c r="M506" t="s">
        <v>45</v>
      </c>
      <c r="N506" s="1">
        <v>44662</v>
      </c>
      <c r="O506" s="1" t="str">
        <f>IF(OR(TBL_Employees[[#This Row],[Exit Date]],FALSE),"Left employees", "Current employees")</f>
        <v>Left employees</v>
      </c>
    </row>
    <row r="507" spans="1:15" x14ac:dyDescent="0.35">
      <c r="A507" t="s">
        <v>273</v>
      </c>
      <c r="B507" t="s">
        <v>1212</v>
      </c>
      <c r="C507" t="s">
        <v>61</v>
      </c>
      <c r="D507" t="s">
        <v>15</v>
      </c>
      <c r="E507" t="s">
        <v>32</v>
      </c>
      <c r="F507" t="s">
        <v>17</v>
      </c>
      <c r="G507" t="s">
        <v>47</v>
      </c>
      <c r="H507">
        <v>59</v>
      </c>
      <c r="I507" s="1">
        <v>43400</v>
      </c>
      <c r="J507" s="2">
        <v>139208</v>
      </c>
      <c r="K507" s="3">
        <v>0.11</v>
      </c>
      <c r="L507" t="s">
        <v>19</v>
      </c>
      <c r="M507" t="s">
        <v>25</v>
      </c>
      <c r="N507" s="1" t="s">
        <v>21</v>
      </c>
      <c r="O507" s="1" t="str">
        <f>IF(OR(TBL_Employees[[#This Row],[Exit Date]],FALSE),"Left employees", "Current employees")</f>
        <v>Current employees</v>
      </c>
    </row>
    <row r="508" spans="1:15" x14ac:dyDescent="0.35">
      <c r="A508" t="s">
        <v>1213</v>
      </c>
      <c r="B508" t="s">
        <v>1214</v>
      </c>
      <c r="C508" t="s">
        <v>42</v>
      </c>
      <c r="D508" t="s">
        <v>50</v>
      </c>
      <c r="E508" t="s">
        <v>44</v>
      </c>
      <c r="F508" t="s">
        <v>28</v>
      </c>
      <c r="G508" t="s">
        <v>24</v>
      </c>
      <c r="H508">
        <v>63</v>
      </c>
      <c r="I508" s="1">
        <v>43171</v>
      </c>
      <c r="J508" s="2">
        <v>73200</v>
      </c>
      <c r="K508" s="3">
        <v>0</v>
      </c>
      <c r="L508" t="s">
        <v>33</v>
      </c>
      <c r="M508" t="s">
        <v>74</v>
      </c>
      <c r="N508" s="1" t="s">
        <v>21</v>
      </c>
      <c r="O508" s="1" t="str">
        <f>IF(OR(TBL_Employees[[#This Row],[Exit Date]],FALSE),"Left employees", "Current employees")</f>
        <v>Current employees</v>
      </c>
    </row>
    <row r="509" spans="1:15" x14ac:dyDescent="0.35">
      <c r="A509" t="s">
        <v>1215</v>
      </c>
      <c r="B509" t="s">
        <v>1216</v>
      </c>
      <c r="C509" t="s">
        <v>62</v>
      </c>
      <c r="D509" t="s">
        <v>65</v>
      </c>
      <c r="E509" t="s">
        <v>44</v>
      </c>
      <c r="F509" t="s">
        <v>17</v>
      </c>
      <c r="G509" t="s">
        <v>51</v>
      </c>
      <c r="H509">
        <v>46</v>
      </c>
      <c r="I509" s="1">
        <v>40292</v>
      </c>
      <c r="J509" s="2">
        <v>102636</v>
      </c>
      <c r="K509" s="3">
        <v>0.06</v>
      </c>
      <c r="L509" t="s">
        <v>19</v>
      </c>
      <c r="M509" t="s">
        <v>63</v>
      </c>
      <c r="N509" s="1" t="s">
        <v>21</v>
      </c>
      <c r="O509" s="1" t="str">
        <f>IF(OR(TBL_Employees[[#This Row],[Exit Date]],FALSE),"Left employees", "Current employees")</f>
        <v>Current employees</v>
      </c>
    </row>
    <row r="510" spans="1:15" x14ac:dyDescent="0.35">
      <c r="A510" t="s">
        <v>1217</v>
      </c>
      <c r="B510" t="s">
        <v>1218</v>
      </c>
      <c r="C510" t="s">
        <v>49</v>
      </c>
      <c r="D510" t="s">
        <v>50</v>
      </c>
      <c r="E510" t="s">
        <v>44</v>
      </c>
      <c r="F510" t="s">
        <v>17</v>
      </c>
      <c r="G510" t="s">
        <v>51</v>
      </c>
      <c r="H510">
        <v>26</v>
      </c>
      <c r="I510" s="1">
        <v>44236</v>
      </c>
      <c r="J510" s="2">
        <v>87427</v>
      </c>
      <c r="K510" s="3">
        <v>0</v>
      </c>
      <c r="L510" t="s">
        <v>52</v>
      </c>
      <c r="M510" t="s">
        <v>53</v>
      </c>
      <c r="N510" s="1" t="s">
        <v>21</v>
      </c>
      <c r="O510" s="1" t="str">
        <f>IF(OR(TBL_Employees[[#This Row],[Exit Date]],FALSE),"Left employees", "Current employees")</f>
        <v>Current employees</v>
      </c>
    </row>
    <row r="511" spans="1:15" x14ac:dyDescent="0.35">
      <c r="A511" t="s">
        <v>1219</v>
      </c>
      <c r="B511" t="s">
        <v>1220</v>
      </c>
      <c r="C511" t="s">
        <v>73</v>
      </c>
      <c r="D511" t="s">
        <v>27</v>
      </c>
      <c r="E511" t="s">
        <v>16</v>
      </c>
      <c r="F511" t="s">
        <v>28</v>
      </c>
      <c r="G511" t="s">
        <v>18</v>
      </c>
      <c r="H511">
        <v>45</v>
      </c>
      <c r="I511" s="1">
        <v>43248</v>
      </c>
      <c r="J511" s="2">
        <v>49219</v>
      </c>
      <c r="K511" s="3">
        <v>0</v>
      </c>
      <c r="L511" t="s">
        <v>19</v>
      </c>
      <c r="M511" t="s">
        <v>29</v>
      </c>
      <c r="N511" s="1" t="s">
        <v>21</v>
      </c>
      <c r="O511" s="1" t="str">
        <f>IF(OR(TBL_Employees[[#This Row],[Exit Date]],FALSE),"Left employees", "Current employees")</f>
        <v>Current employees</v>
      </c>
    </row>
    <row r="512" spans="1:15" x14ac:dyDescent="0.35">
      <c r="A512" t="s">
        <v>1221</v>
      </c>
      <c r="B512" t="s">
        <v>857</v>
      </c>
      <c r="C512" t="s">
        <v>62</v>
      </c>
      <c r="D512" t="s">
        <v>15</v>
      </c>
      <c r="E512" t="s">
        <v>36</v>
      </c>
      <c r="F512" t="s">
        <v>28</v>
      </c>
      <c r="G512" t="s">
        <v>24</v>
      </c>
      <c r="H512">
        <v>50</v>
      </c>
      <c r="I512" s="1">
        <v>43239</v>
      </c>
      <c r="J512" s="2">
        <v>106437</v>
      </c>
      <c r="K512" s="3">
        <v>7.0000000000000007E-2</v>
      </c>
      <c r="L512" t="s">
        <v>33</v>
      </c>
      <c r="M512" t="s">
        <v>80</v>
      </c>
      <c r="N512" s="1" t="s">
        <v>21</v>
      </c>
      <c r="O512" s="1" t="str">
        <f>IF(OR(TBL_Employees[[#This Row],[Exit Date]],FALSE),"Left employees", "Current employees")</f>
        <v>Current employees</v>
      </c>
    </row>
    <row r="513" spans="1:15" x14ac:dyDescent="0.35">
      <c r="A513" t="s">
        <v>1222</v>
      </c>
      <c r="B513" t="s">
        <v>1223</v>
      </c>
      <c r="C513" t="s">
        <v>64</v>
      </c>
      <c r="D513" t="s">
        <v>15</v>
      </c>
      <c r="E513" t="s">
        <v>36</v>
      </c>
      <c r="F513" t="s">
        <v>28</v>
      </c>
      <c r="G513" t="s">
        <v>51</v>
      </c>
      <c r="H513">
        <v>46</v>
      </c>
      <c r="I513" s="1">
        <v>42129</v>
      </c>
      <c r="J513" s="2">
        <v>64364</v>
      </c>
      <c r="K513" s="3">
        <v>0</v>
      </c>
      <c r="L513" t="s">
        <v>52</v>
      </c>
      <c r="M513" t="s">
        <v>53</v>
      </c>
      <c r="N513" s="1" t="s">
        <v>21</v>
      </c>
      <c r="O513" s="1" t="str">
        <f>IF(OR(TBL_Employees[[#This Row],[Exit Date]],FALSE),"Left employees", "Current employees")</f>
        <v>Current employees</v>
      </c>
    </row>
    <row r="514" spans="1:15" x14ac:dyDescent="0.35">
      <c r="A514" t="s">
        <v>1224</v>
      </c>
      <c r="B514" t="s">
        <v>1225</v>
      </c>
      <c r="C514" t="s">
        <v>40</v>
      </c>
      <c r="D514" t="s">
        <v>23</v>
      </c>
      <c r="E514" t="s">
        <v>36</v>
      </c>
      <c r="F514" t="s">
        <v>28</v>
      </c>
      <c r="G514" t="s">
        <v>18</v>
      </c>
      <c r="H514">
        <v>50</v>
      </c>
      <c r="I514" s="1">
        <v>44486</v>
      </c>
      <c r="J514" s="2">
        <v>172180</v>
      </c>
      <c r="K514" s="3">
        <v>0.3</v>
      </c>
      <c r="L514" t="s">
        <v>19</v>
      </c>
      <c r="M514" t="s">
        <v>29</v>
      </c>
      <c r="N514" s="1" t="s">
        <v>21</v>
      </c>
      <c r="O514" s="1" t="str">
        <f>IF(OR(TBL_Employees[[#This Row],[Exit Date]],FALSE),"Left employees", "Current employees")</f>
        <v>Current employees</v>
      </c>
    </row>
    <row r="515" spans="1:15" x14ac:dyDescent="0.35">
      <c r="A515" t="s">
        <v>1226</v>
      </c>
      <c r="B515" t="s">
        <v>1227</v>
      </c>
      <c r="C515" t="s">
        <v>42</v>
      </c>
      <c r="D515" t="s">
        <v>50</v>
      </c>
      <c r="E515" t="s">
        <v>36</v>
      </c>
      <c r="F515" t="s">
        <v>17</v>
      </c>
      <c r="G515" t="s">
        <v>51</v>
      </c>
      <c r="H515">
        <v>33</v>
      </c>
      <c r="I515" s="1">
        <v>41043</v>
      </c>
      <c r="J515" s="2">
        <v>88343</v>
      </c>
      <c r="K515" s="3">
        <v>0</v>
      </c>
      <c r="L515" t="s">
        <v>52</v>
      </c>
      <c r="M515" t="s">
        <v>66</v>
      </c>
      <c r="N515" s="1" t="s">
        <v>21</v>
      </c>
      <c r="O515" s="1" t="str">
        <f>IF(OR(TBL_Employees[[#This Row],[Exit Date]],FALSE),"Left employees", "Current employees")</f>
        <v>Current employees</v>
      </c>
    </row>
    <row r="516" spans="1:15" x14ac:dyDescent="0.35">
      <c r="A516" t="s">
        <v>1228</v>
      </c>
      <c r="B516" t="s">
        <v>1229</v>
      </c>
      <c r="C516" t="s">
        <v>88</v>
      </c>
      <c r="D516" t="s">
        <v>27</v>
      </c>
      <c r="E516" t="s">
        <v>44</v>
      </c>
      <c r="F516" t="s">
        <v>28</v>
      </c>
      <c r="G516" t="s">
        <v>51</v>
      </c>
      <c r="H516">
        <v>57</v>
      </c>
      <c r="I516" s="1">
        <v>41830</v>
      </c>
      <c r="J516" s="2">
        <v>66649</v>
      </c>
      <c r="K516" s="3">
        <v>0</v>
      </c>
      <c r="L516" t="s">
        <v>52</v>
      </c>
      <c r="M516" t="s">
        <v>66</v>
      </c>
      <c r="N516" s="1" t="s">
        <v>21</v>
      </c>
      <c r="O516" s="1" t="str">
        <f>IF(OR(TBL_Employees[[#This Row],[Exit Date]],FALSE),"Left employees", "Current employees")</f>
        <v>Current employees</v>
      </c>
    </row>
    <row r="517" spans="1:15" x14ac:dyDescent="0.35">
      <c r="A517" t="s">
        <v>485</v>
      </c>
      <c r="B517" t="s">
        <v>1230</v>
      </c>
      <c r="C517" t="s">
        <v>62</v>
      </c>
      <c r="D517" t="s">
        <v>15</v>
      </c>
      <c r="E517" t="s">
        <v>32</v>
      </c>
      <c r="F517" t="s">
        <v>17</v>
      </c>
      <c r="G517" t="s">
        <v>18</v>
      </c>
      <c r="H517">
        <v>48</v>
      </c>
      <c r="I517" s="1">
        <v>36272</v>
      </c>
      <c r="J517" s="2">
        <v>102847</v>
      </c>
      <c r="K517" s="3">
        <v>0.05</v>
      </c>
      <c r="L517" t="s">
        <v>19</v>
      </c>
      <c r="M517" t="s">
        <v>20</v>
      </c>
      <c r="N517" s="1" t="s">
        <v>21</v>
      </c>
      <c r="O517" s="1" t="str">
        <f>IF(OR(TBL_Employees[[#This Row],[Exit Date]],FALSE),"Left employees", "Current employees")</f>
        <v>Current employees</v>
      </c>
    </row>
    <row r="518" spans="1:15" x14ac:dyDescent="0.35">
      <c r="A518" t="s">
        <v>1231</v>
      </c>
      <c r="B518" t="s">
        <v>1232</v>
      </c>
      <c r="C518" t="s">
        <v>61</v>
      </c>
      <c r="D518" t="s">
        <v>15</v>
      </c>
      <c r="E518" t="s">
        <v>36</v>
      </c>
      <c r="F518" t="s">
        <v>28</v>
      </c>
      <c r="G518" t="s">
        <v>51</v>
      </c>
      <c r="H518">
        <v>46</v>
      </c>
      <c r="I518" s="1">
        <v>40378</v>
      </c>
      <c r="J518" s="2">
        <v>134881</v>
      </c>
      <c r="K518" s="3">
        <v>0.15</v>
      </c>
      <c r="L518" t="s">
        <v>52</v>
      </c>
      <c r="M518" t="s">
        <v>81</v>
      </c>
      <c r="N518" s="1" t="s">
        <v>21</v>
      </c>
      <c r="O518" s="1" t="str">
        <f>IF(OR(TBL_Employees[[#This Row],[Exit Date]],FALSE),"Left employees", "Current employees")</f>
        <v>Current employees</v>
      </c>
    </row>
    <row r="519" spans="1:15" x14ac:dyDescent="0.35">
      <c r="A519" t="s">
        <v>1233</v>
      </c>
      <c r="B519" t="s">
        <v>1234</v>
      </c>
      <c r="C519" t="s">
        <v>64</v>
      </c>
      <c r="D519" t="s">
        <v>43</v>
      </c>
      <c r="E519" t="s">
        <v>36</v>
      </c>
      <c r="F519" t="s">
        <v>28</v>
      </c>
      <c r="G519" t="s">
        <v>24</v>
      </c>
      <c r="H519">
        <v>52</v>
      </c>
      <c r="I519" s="1">
        <v>36303</v>
      </c>
      <c r="J519" s="2">
        <v>68807</v>
      </c>
      <c r="K519" s="3">
        <v>0</v>
      </c>
      <c r="L519" t="s">
        <v>33</v>
      </c>
      <c r="M519" t="s">
        <v>34</v>
      </c>
      <c r="N519" s="1">
        <v>42338</v>
      </c>
      <c r="O519" s="1" t="str">
        <f>IF(OR(TBL_Employees[[#This Row],[Exit Date]],FALSE),"Left employees", "Current employees")</f>
        <v>Left employees</v>
      </c>
    </row>
    <row r="520" spans="1:15" x14ac:dyDescent="0.35">
      <c r="A520" t="s">
        <v>1235</v>
      </c>
      <c r="B520" t="s">
        <v>1236</v>
      </c>
      <c r="C520" t="s">
        <v>14</v>
      </c>
      <c r="D520" t="s">
        <v>27</v>
      </c>
      <c r="E520" t="s">
        <v>36</v>
      </c>
      <c r="F520" t="s">
        <v>28</v>
      </c>
      <c r="G520" t="s">
        <v>18</v>
      </c>
      <c r="H520">
        <v>56</v>
      </c>
      <c r="I520" s="1">
        <v>38866</v>
      </c>
      <c r="J520" s="2">
        <v>228822</v>
      </c>
      <c r="K520" s="3">
        <v>0.36</v>
      </c>
      <c r="L520" t="s">
        <v>19</v>
      </c>
      <c r="M520" t="s">
        <v>45</v>
      </c>
      <c r="N520" s="1" t="s">
        <v>21</v>
      </c>
      <c r="O520" s="1" t="str">
        <f>IF(OR(TBL_Employees[[#This Row],[Exit Date]],FALSE),"Left employees", "Current employees")</f>
        <v>Current employees</v>
      </c>
    </row>
    <row r="521" spans="1:15" x14ac:dyDescent="0.35">
      <c r="A521" t="s">
        <v>1237</v>
      </c>
      <c r="B521" t="s">
        <v>1238</v>
      </c>
      <c r="C521" t="s">
        <v>68</v>
      </c>
      <c r="D521" t="s">
        <v>43</v>
      </c>
      <c r="E521" t="s">
        <v>36</v>
      </c>
      <c r="F521" t="s">
        <v>28</v>
      </c>
      <c r="G521" t="s">
        <v>18</v>
      </c>
      <c r="H521">
        <v>28</v>
      </c>
      <c r="I521" s="1">
        <v>44395</v>
      </c>
      <c r="J521" s="2">
        <v>43391</v>
      </c>
      <c r="K521" s="3">
        <v>0</v>
      </c>
      <c r="L521" t="s">
        <v>19</v>
      </c>
      <c r="M521" t="s">
        <v>29</v>
      </c>
      <c r="N521" s="1" t="s">
        <v>21</v>
      </c>
      <c r="O521" s="1" t="str">
        <f>IF(OR(TBL_Employees[[#This Row],[Exit Date]],FALSE),"Left employees", "Current employees")</f>
        <v>Current employees</v>
      </c>
    </row>
    <row r="522" spans="1:15" x14ac:dyDescent="0.35">
      <c r="A522" t="s">
        <v>364</v>
      </c>
      <c r="B522" t="s">
        <v>1239</v>
      </c>
      <c r="C522" t="s">
        <v>30</v>
      </c>
      <c r="D522" t="s">
        <v>31</v>
      </c>
      <c r="E522" t="s">
        <v>44</v>
      </c>
      <c r="F522" t="s">
        <v>28</v>
      </c>
      <c r="G522" t="s">
        <v>24</v>
      </c>
      <c r="H522">
        <v>29</v>
      </c>
      <c r="I522" s="1">
        <v>44515</v>
      </c>
      <c r="J522" s="2">
        <v>91782</v>
      </c>
      <c r="K522" s="3">
        <v>0</v>
      </c>
      <c r="L522" t="s">
        <v>33</v>
      </c>
      <c r="M522" t="s">
        <v>80</v>
      </c>
      <c r="N522" s="1" t="s">
        <v>21</v>
      </c>
      <c r="O522" s="1" t="str">
        <f>IF(OR(TBL_Employees[[#This Row],[Exit Date]],FALSE),"Left employees", "Current employees")</f>
        <v>Current employees</v>
      </c>
    </row>
    <row r="523" spans="1:15" x14ac:dyDescent="0.35">
      <c r="A523" t="s">
        <v>277</v>
      </c>
      <c r="B523" t="s">
        <v>1240</v>
      </c>
      <c r="C523" t="s">
        <v>14</v>
      </c>
      <c r="D523" t="s">
        <v>43</v>
      </c>
      <c r="E523" t="s">
        <v>32</v>
      </c>
      <c r="F523" t="s">
        <v>17</v>
      </c>
      <c r="G523" t="s">
        <v>24</v>
      </c>
      <c r="H523">
        <v>45</v>
      </c>
      <c r="I523" s="1">
        <v>42428</v>
      </c>
      <c r="J523" s="2">
        <v>211637</v>
      </c>
      <c r="K523" s="3">
        <v>0.31</v>
      </c>
      <c r="L523" t="s">
        <v>19</v>
      </c>
      <c r="M523" t="s">
        <v>20</v>
      </c>
      <c r="N523" s="1" t="s">
        <v>21</v>
      </c>
      <c r="O523" s="1" t="str">
        <f>IF(OR(TBL_Employees[[#This Row],[Exit Date]],FALSE),"Left employees", "Current employees")</f>
        <v>Current employees</v>
      </c>
    </row>
    <row r="524" spans="1:15" x14ac:dyDescent="0.35">
      <c r="A524" t="s">
        <v>391</v>
      </c>
      <c r="B524" t="s">
        <v>1241</v>
      </c>
      <c r="C524" t="s">
        <v>56</v>
      </c>
      <c r="D524" t="s">
        <v>27</v>
      </c>
      <c r="E524" t="s">
        <v>36</v>
      </c>
      <c r="F524" t="s">
        <v>28</v>
      </c>
      <c r="G524" t="s">
        <v>18</v>
      </c>
      <c r="H524">
        <v>28</v>
      </c>
      <c r="I524" s="1">
        <v>44051</v>
      </c>
      <c r="J524" s="2">
        <v>73255</v>
      </c>
      <c r="K524" s="3">
        <v>0.09</v>
      </c>
      <c r="L524" t="s">
        <v>19</v>
      </c>
      <c r="M524" t="s">
        <v>39</v>
      </c>
      <c r="N524" s="1" t="s">
        <v>21</v>
      </c>
      <c r="O524" s="1" t="str">
        <f>IF(OR(TBL_Employees[[#This Row],[Exit Date]],FALSE),"Left employees", "Current employees")</f>
        <v>Current employees</v>
      </c>
    </row>
    <row r="525" spans="1:15" x14ac:dyDescent="0.35">
      <c r="A525" t="s">
        <v>1242</v>
      </c>
      <c r="B525" t="s">
        <v>1243</v>
      </c>
      <c r="C525" t="s">
        <v>62</v>
      </c>
      <c r="D525" t="s">
        <v>50</v>
      </c>
      <c r="E525" t="s">
        <v>32</v>
      </c>
      <c r="F525" t="s">
        <v>28</v>
      </c>
      <c r="G525" t="s">
        <v>18</v>
      </c>
      <c r="H525">
        <v>28</v>
      </c>
      <c r="I525" s="1">
        <v>44204</v>
      </c>
      <c r="J525" s="2">
        <v>108826</v>
      </c>
      <c r="K525" s="3">
        <v>0.1</v>
      </c>
      <c r="L525" t="s">
        <v>19</v>
      </c>
      <c r="M525" t="s">
        <v>45</v>
      </c>
      <c r="N525" s="1" t="s">
        <v>21</v>
      </c>
      <c r="O525" s="1" t="str">
        <f>IF(OR(TBL_Employees[[#This Row],[Exit Date]],FALSE),"Left employees", "Current employees")</f>
        <v>Current employees</v>
      </c>
    </row>
    <row r="526" spans="1:15" x14ac:dyDescent="0.35">
      <c r="A526" t="s">
        <v>1244</v>
      </c>
      <c r="B526" t="s">
        <v>1245</v>
      </c>
      <c r="C526" t="s">
        <v>88</v>
      </c>
      <c r="D526" t="s">
        <v>27</v>
      </c>
      <c r="E526" t="s">
        <v>44</v>
      </c>
      <c r="F526" t="s">
        <v>28</v>
      </c>
      <c r="G526" t="s">
        <v>18</v>
      </c>
      <c r="H526">
        <v>34</v>
      </c>
      <c r="I526" s="1">
        <v>42514</v>
      </c>
      <c r="J526" s="2">
        <v>94352</v>
      </c>
      <c r="K526" s="3">
        <v>0</v>
      </c>
      <c r="L526" t="s">
        <v>19</v>
      </c>
      <c r="M526" t="s">
        <v>45</v>
      </c>
      <c r="N526" s="1" t="s">
        <v>21</v>
      </c>
      <c r="O526" s="1" t="str">
        <f>IF(OR(TBL_Employees[[#This Row],[Exit Date]],FALSE),"Left employees", "Current employees")</f>
        <v>Current employees</v>
      </c>
    </row>
    <row r="527" spans="1:15" x14ac:dyDescent="0.35">
      <c r="A527" t="s">
        <v>406</v>
      </c>
      <c r="B527" t="s">
        <v>1246</v>
      </c>
      <c r="C527" t="s">
        <v>91</v>
      </c>
      <c r="D527" t="s">
        <v>27</v>
      </c>
      <c r="E527" t="s">
        <v>16</v>
      </c>
      <c r="F527" t="s">
        <v>17</v>
      </c>
      <c r="G527" t="s">
        <v>51</v>
      </c>
      <c r="H527">
        <v>55</v>
      </c>
      <c r="I527" s="1">
        <v>34576</v>
      </c>
      <c r="J527" s="2">
        <v>73955</v>
      </c>
      <c r="K527" s="3">
        <v>0</v>
      </c>
      <c r="L527" t="s">
        <v>19</v>
      </c>
      <c r="M527" t="s">
        <v>39</v>
      </c>
      <c r="N527" s="1" t="s">
        <v>21</v>
      </c>
      <c r="O527" s="1" t="str">
        <f>IF(OR(TBL_Employees[[#This Row],[Exit Date]],FALSE),"Left employees", "Current employees")</f>
        <v>Current employees</v>
      </c>
    </row>
    <row r="528" spans="1:15" x14ac:dyDescent="0.35">
      <c r="A528" t="s">
        <v>1247</v>
      </c>
      <c r="B528" t="s">
        <v>1248</v>
      </c>
      <c r="C528" t="s">
        <v>62</v>
      </c>
      <c r="D528" t="s">
        <v>23</v>
      </c>
      <c r="E528" t="s">
        <v>36</v>
      </c>
      <c r="F528" t="s">
        <v>28</v>
      </c>
      <c r="G528" t="s">
        <v>51</v>
      </c>
      <c r="H528">
        <v>34</v>
      </c>
      <c r="I528" s="1">
        <v>41499</v>
      </c>
      <c r="J528" s="2">
        <v>113909</v>
      </c>
      <c r="K528" s="3">
        <v>0.06</v>
      </c>
      <c r="L528" t="s">
        <v>52</v>
      </c>
      <c r="M528" t="s">
        <v>66</v>
      </c>
      <c r="N528" s="1" t="s">
        <v>21</v>
      </c>
      <c r="O528" s="1" t="str">
        <f>IF(OR(TBL_Employees[[#This Row],[Exit Date]],FALSE),"Left employees", "Current employees")</f>
        <v>Current employees</v>
      </c>
    </row>
    <row r="529" spans="1:15" x14ac:dyDescent="0.35">
      <c r="A529" t="s">
        <v>1249</v>
      </c>
      <c r="B529" t="s">
        <v>1250</v>
      </c>
      <c r="C529" t="s">
        <v>89</v>
      </c>
      <c r="D529" t="s">
        <v>27</v>
      </c>
      <c r="E529" t="s">
        <v>36</v>
      </c>
      <c r="F529" t="s">
        <v>28</v>
      </c>
      <c r="G529" t="s">
        <v>24</v>
      </c>
      <c r="H529">
        <v>27</v>
      </c>
      <c r="I529" s="1">
        <v>44189</v>
      </c>
      <c r="J529" s="2">
        <v>92321</v>
      </c>
      <c r="K529" s="3">
        <v>0</v>
      </c>
      <c r="L529" t="s">
        <v>19</v>
      </c>
      <c r="M529" t="s">
        <v>20</v>
      </c>
      <c r="N529" s="1" t="s">
        <v>21</v>
      </c>
      <c r="O529" s="1" t="str">
        <f>IF(OR(TBL_Employees[[#This Row],[Exit Date]],FALSE),"Left employees", "Current employees")</f>
        <v>Current employees</v>
      </c>
    </row>
    <row r="530" spans="1:15" x14ac:dyDescent="0.35">
      <c r="A530" t="s">
        <v>1196</v>
      </c>
      <c r="B530" t="s">
        <v>1251</v>
      </c>
      <c r="C530" t="s">
        <v>56</v>
      </c>
      <c r="D530" t="s">
        <v>27</v>
      </c>
      <c r="E530" t="s">
        <v>16</v>
      </c>
      <c r="F530" t="s">
        <v>28</v>
      </c>
      <c r="G530" t="s">
        <v>18</v>
      </c>
      <c r="H530">
        <v>52</v>
      </c>
      <c r="I530" s="1">
        <v>41417</v>
      </c>
      <c r="J530" s="2">
        <v>99557</v>
      </c>
      <c r="K530" s="3">
        <v>0.09</v>
      </c>
      <c r="L530" t="s">
        <v>19</v>
      </c>
      <c r="M530" t="s">
        <v>63</v>
      </c>
      <c r="N530" s="1" t="s">
        <v>21</v>
      </c>
      <c r="O530" s="1" t="str">
        <f>IF(OR(TBL_Employees[[#This Row],[Exit Date]],FALSE),"Left employees", "Current employees")</f>
        <v>Current employees</v>
      </c>
    </row>
    <row r="531" spans="1:15" x14ac:dyDescent="0.35">
      <c r="A531" t="s">
        <v>1252</v>
      </c>
      <c r="B531" t="s">
        <v>1253</v>
      </c>
      <c r="C531" t="s">
        <v>59</v>
      </c>
      <c r="D531" t="s">
        <v>31</v>
      </c>
      <c r="E531" t="s">
        <v>44</v>
      </c>
      <c r="F531" t="s">
        <v>17</v>
      </c>
      <c r="G531" t="s">
        <v>18</v>
      </c>
      <c r="H531">
        <v>28</v>
      </c>
      <c r="I531" s="1">
        <v>43418</v>
      </c>
      <c r="J531" s="2">
        <v>115854</v>
      </c>
      <c r="K531" s="3">
        <v>0</v>
      </c>
      <c r="L531" t="s">
        <v>19</v>
      </c>
      <c r="M531" t="s">
        <v>39</v>
      </c>
      <c r="N531" s="1" t="s">
        <v>21</v>
      </c>
      <c r="O531" s="1" t="str">
        <f>IF(OR(TBL_Employees[[#This Row],[Exit Date]],FALSE),"Left employees", "Current employees")</f>
        <v>Current employees</v>
      </c>
    </row>
    <row r="532" spans="1:15" x14ac:dyDescent="0.35">
      <c r="A532" t="s">
        <v>1254</v>
      </c>
      <c r="B532" t="s">
        <v>1255</v>
      </c>
      <c r="C532" t="s">
        <v>91</v>
      </c>
      <c r="D532" t="s">
        <v>27</v>
      </c>
      <c r="E532" t="s">
        <v>36</v>
      </c>
      <c r="F532" t="s">
        <v>17</v>
      </c>
      <c r="G532" t="s">
        <v>51</v>
      </c>
      <c r="H532">
        <v>44</v>
      </c>
      <c r="I532" s="1">
        <v>40603</v>
      </c>
      <c r="J532" s="2">
        <v>82462</v>
      </c>
      <c r="K532" s="3">
        <v>0</v>
      </c>
      <c r="L532" t="s">
        <v>19</v>
      </c>
      <c r="M532" t="s">
        <v>25</v>
      </c>
      <c r="N532" s="1" t="s">
        <v>21</v>
      </c>
      <c r="O532" s="1" t="str">
        <f>IF(OR(TBL_Employees[[#This Row],[Exit Date]],FALSE),"Left employees", "Current employees")</f>
        <v>Current employees</v>
      </c>
    </row>
    <row r="533" spans="1:15" x14ac:dyDescent="0.35">
      <c r="A533" t="s">
        <v>164</v>
      </c>
      <c r="B533" t="s">
        <v>1256</v>
      </c>
      <c r="C533" t="s">
        <v>14</v>
      </c>
      <c r="D533" t="s">
        <v>27</v>
      </c>
      <c r="E533" t="s">
        <v>16</v>
      </c>
      <c r="F533" t="s">
        <v>17</v>
      </c>
      <c r="G533" t="s">
        <v>18</v>
      </c>
      <c r="H533">
        <v>53</v>
      </c>
      <c r="I533" s="1">
        <v>40856</v>
      </c>
      <c r="J533" s="2">
        <v>198473</v>
      </c>
      <c r="K533" s="3">
        <v>0.32</v>
      </c>
      <c r="L533" t="s">
        <v>19</v>
      </c>
      <c r="M533" t="s">
        <v>45</v>
      </c>
      <c r="N533" s="1" t="s">
        <v>21</v>
      </c>
      <c r="O533" s="1" t="str">
        <f>IF(OR(TBL_Employees[[#This Row],[Exit Date]],FALSE),"Left employees", "Current employees")</f>
        <v>Current employees</v>
      </c>
    </row>
    <row r="534" spans="1:15" x14ac:dyDescent="0.35">
      <c r="A534" t="s">
        <v>1257</v>
      </c>
      <c r="B534" t="s">
        <v>1258</v>
      </c>
      <c r="C534" t="s">
        <v>61</v>
      </c>
      <c r="D534" t="s">
        <v>15</v>
      </c>
      <c r="E534" t="s">
        <v>32</v>
      </c>
      <c r="F534" t="s">
        <v>17</v>
      </c>
      <c r="G534" t="s">
        <v>24</v>
      </c>
      <c r="H534">
        <v>43</v>
      </c>
      <c r="I534" s="1">
        <v>39005</v>
      </c>
      <c r="J534" s="2">
        <v>153492</v>
      </c>
      <c r="K534" s="3">
        <v>0.11</v>
      </c>
      <c r="L534" t="s">
        <v>19</v>
      </c>
      <c r="M534" t="s">
        <v>20</v>
      </c>
      <c r="N534" s="1" t="s">
        <v>21</v>
      </c>
      <c r="O534" s="1" t="str">
        <f>IF(OR(TBL_Employees[[#This Row],[Exit Date]],FALSE),"Left employees", "Current employees")</f>
        <v>Current employees</v>
      </c>
    </row>
    <row r="535" spans="1:15" x14ac:dyDescent="0.35">
      <c r="A535" t="s">
        <v>1259</v>
      </c>
      <c r="B535" t="s">
        <v>1260</v>
      </c>
      <c r="C535" t="s">
        <v>14</v>
      </c>
      <c r="D535" t="s">
        <v>23</v>
      </c>
      <c r="E535" t="s">
        <v>32</v>
      </c>
      <c r="F535" t="s">
        <v>17</v>
      </c>
      <c r="G535" t="s">
        <v>47</v>
      </c>
      <c r="H535">
        <v>28</v>
      </c>
      <c r="I535" s="1">
        <v>43121</v>
      </c>
      <c r="J535" s="2">
        <v>208210</v>
      </c>
      <c r="K535" s="3">
        <v>0.3</v>
      </c>
      <c r="L535" t="s">
        <v>19</v>
      </c>
      <c r="M535" t="s">
        <v>63</v>
      </c>
      <c r="N535" s="1" t="s">
        <v>21</v>
      </c>
      <c r="O535" s="1" t="str">
        <f>IF(OR(TBL_Employees[[#This Row],[Exit Date]],FALSE),"Left employees", "Current employees")</f>
        <v>Current employees</v>
      </c>
    </row>
    <row r="536" spans="1:15" x14ac:dyDescent="0.35">
      <c r="A536" t="s">
        <v>1261</v>
      </c>
      <c r="B536" t="s">
        <v>1262</v>
      </c>
      <c r="C536" t="s">
        <v>42</v>
      </c>
      <c r="D536" t="s">
        <v>43</v>
      </c>
      <c r="E536" t="s">
        <v>32</v>
      </c>
      <c r="F536" t="s">
        <v>28</v>
      </c>
      <c r="G536" t="s">
        <v>18</v>
      </c>
      <c r="H536">
        <v>33</v>
      </c>
      <c r="I536" s="1">
        <v>42325</v>
      </c>
      <c r="J536" s="2">
        <v>91632</v>
      </c>
      <c r="K536" s="3">
        <v>0</v>
      </c>
      <c r="L536" t="s">
        <v>19</v>
      </c>
      <c r="M536" t="s">
        <v>39</v>
      </c>
      <c r="N536" s="1" t="s">
        <v>21</v>
      </c>
      <c r="O536" s="1" t="str">
        <f>IF(OR(TBL_Employees[[#This Row],[Exit Date]],FALSE),"Left employees", "Current employees")</f>
        <v>Current employees</v>
      </c>
    </row>
    <row r="537" spans="1:15" x14ac:dyDescent="0.35">
      <c r="A537" t="s">
        <v>331</v>
      </c>
      <c r="B537" t="s">
        <v>1263</v>
      </c>
      <c r="C537" t="s">
        <v>22</v>
      </c>
      <c r="D537" t="s">
        <v>23</v>
      </c>
      <c r="E537" t="s">
        <v>32</v>
      </c>
      <c r="F537" t="s">
        <v>28</v>
      </c>
      <c r="G537" t="s">
        <v>24</v>
      </c>
      <c r="H537">
        <v>31</v>
      </c>
      <c r="I537" s="1">
        <v>43002</v>
      </c>
      <c r="J537" s="2">
        <v>71755</v>
      </c>
      <c r="K537" s="3">
        <v>0</v>
      </c>
      <c r="L537" t="s">
        <v>33</v>
      </c>
      <c r="M537" t="s">
        <v>80</v>
      </c>
      <c r="N537" s="1" t="s">
        <v>21</v>
      </c>
      <c r="O537" s="1" t="str">
        <f>IF(OR(TBL_Employees[[#This Row],[Exit Date]],FALSE),"Left employees", "Current employees")</f>
        <v>Current employees</v>
      </c>
    </row>
    <row r="538" spans="1:15" x14ac:dyDescent="0.35">
      <c r="A538" t="s">
        <v>346</v>
      </c>
      <c r="B538" t="s">
        <v>1264</v>
      </c>
      <c r="C538" t="s">
        <v>62</v>
      </c>
      <c r="D538" t="s">
        <v>65</v>
      </c>
      <c r="E538" t="s">
        <v>32</v>
      </c>
      <c r="F538" t="s">
        <v>17</v>
      </c>
      <c r="G538" t="s">
        <v>24</v>
      </c>
      <c r="H538">
        <v>52</v>
      </c>
      <c r="I538" s="1">
        <v>44519</v>
      </c>
      <c r="J538" s="2">
        <v>111006</v>
      </c>
      <c r="K538" s="3">
        <v>0.08</v>
      </c>
      <c r="L538" t="s">
        <v>33</v>
      </c>
      <c r="M538" t="s">
        <v>80</v>
      </c>
      <c r="N538" s="1" t="s">
        <v>21</v>
      </c>
      <c r="O538" s="1" t="str">
        <f>IF(OR(TBL_Employees[[#This Row],[Exit Date]],FALSE),"Left employees", "Current employees")</f>
        <v>Current employees</v>
      </c>
    </row>
    <row r="539" spans="1:15" x14ac:dyDescent="0.35">
      <c r="A539" t="s">
        <v>1265</v>
      </c>
      <c r="B539" t="s">
        <v>1266</v>
      </c>
      <c r="C539" t="s">
        <v>38</v>
      </c>
      <c r="D539" t="s">
        <v>27</v>
      </c>
      <c r="E539" t="s">
        <v>32</v>
      </c>
      <c r="F539" t="s">
        <v>28</v>
      </c>
      <c r="G539" t="s">
        <v>24</v>
      </c>
      <c r="H539">
        <v>55</v>
      </c>
      <c r="I539" s="1">
        <v>34692</v>
      </c>
      <c r="J539" s="2">
        <v>99774</v>
      </c>
      <c r="K539" s="3">
        <v>0</v>
      </c>
      <c r="L539" t="s">
        <v>19</v>
      </c>
      <c r="M539" t="s">
        <v>25</v>
      </c>
      <c r="N539" s="1" t="s">
        <v>21</v>
      </c>
      <c r="O539" s="1" t="str">
        <f>IF(OR(TBL_Employees[[#This Row],[Exit Date]],FALSE),"Left employees", "Current employees")</f>
        <v>Current employees</v>
      </c>
    </row>
    <row r="540" spans="1:15" x14ac:dyDescent="0.35">
      <c r="A540" t="s">
        <v>1267</v>
      </c>
      <c r="B540" t="s">
        <v>212</v>
      </c>
      <c r="C540" t="s">
        <v>40</v>
      </c>
      <c r="D540" t="s">
        <v>27</v>
      </c>
      <c r="E540" t="s">
        <v>16</v>
      </c>
      <c r="F540" t="s">
        <v>28</v>
      </c>
      <c r="G540" t="s">
        <v>24</v>
      </c>
      <c r="H540">
        <v>55</v>
      </c>
      <c r="I540" s="1">
        <v>39154</v>
      </c>
      <c r="J540" s="2">
        <v>184648</v>
      </c>
      <c r="K540" s="3">
        <v>0.24</v>
      </c>
      <c r="L540" t="s">
        <v>33</v>
      </c>
      <c r="M540" t="s">
        <v>74</v>
      </c>
      <c r="N540" s="1" t="s">
        <v>21</v>
      </c>
      <c r="O540" s="1" t="str">
        <f>IF(OR(TBL_Employees[[#This Row],[Exit Date]],FALSE),"Left employees", "Current employees")</f>
        <v>Current employees</v>
      </c>
    </row>
    <row r="541" spans="1:15" x14ac:dyDescent="0.35">
      <c r="A541" t="s">
        <v>359</v>
      </c>
      <c r="B541" t="s">
        <v>1268</v>
      </c>
      <c r="C541" t="s">
        <v>14</v>
      </c>
      <c r="D541" t="s">
        <v>27</v>
      </c>
      <c r="E541" t="s">
        <v>36</v>
      </c>
      <c r="F541" t="s">
        <v>28</v>
      </c>
      <c r="G541" t="s">
        <v>51</v>
      </c>
      <c r="H541">
        <v>51</v>
      </c>
      <c r="I541" s="1">
        <v>37091</v>
      </c>
      <c r="J541" s="2">
        <v>247874</v>
      </c>
      <c r="K541" s="3">
        <v>0.33</v>
      </c>
      <c r="L541" t="s">
        <v>52</v>
      </c>
      <c r="M541" t="s">
        <v>81</v>
      </c>
      <c r="N541" s="1" t="s">
        <v>21</v>
      </c>
      <c r="O541" s="1" t="str">
        <f>IF(OR(TBL_Employees[[#This Row],[Exit Date]],FALSE),"Left employees", "Current employees")</f>
        <v>Current employees</v>
      </c>
    </row>
    <row r="542" spans="1:15" x14ac:dyDescent="0.35">
      <c r="A542" t="s">
        <v>338</v>
      </c>
      <c r="B542" t="s">
        <v>1269</v>
      </c>
      <c r="C542" t="s">
        <v>86</v>
      </c>
      <c r="D542" t="s">
        <v>31</v>
      </c>
      <c r="E542" t="s">
        <v>36</v>
      </c>
      <c r="F542" t="s">
        <v>28</v>
      </c>
      <c r="G542" t="s">
        <v>24</v>
      </c>
      <c r="H542">
        <v>60</v>
      </c>
      <c r="I542" s="1">
        <v>39944</v>
      </c>
      <c r="J542" s="2">
        <v>62239</v>
      </c>
      <c r="K542" s="3">
        <v>0</v>
      </c>
      <c r="L542" t="s">
        <v>33</v>
      </c>
      <c r="M542" t="s">
        <v>60</v>
      </c>
      <c r="N542" s="1" t="s">
        <v>21</v>
      </c>
      <c r="O542" s="1" t="str">
        <f>IF(OR(TBL_Employees[[#This Row],[Exit Date]],FALSE),"Left employees", "Current employees")</f>
        <v>Current employees</v>
      </c>
    </row>
    <row r="543" spans="1:15" x14ac:dyDescent="0.35">
      <c r="A543" t="s">
        <v>371</v>
      </c>
      <c r="B543" t="s">
        <v>376</v>
      </c>
      <c r="C543" t="s">
        <v>62</v>
      </c>
      <c r="D543" t="s">
        <v>65</v>
      </c>
      <c r="E543" t="s">
        <v>44</v>
      </c>
      <c r="F543" t="s">
        <v>17</v>
      </c>
      <c r="G543" t="s">
        <v>18</v>
      </c>
      <c r="H543">
        <v>31</v>
      </c>
      <c r="I543" s="1">
        <v>41919</v>
      </c>
      <c r="J543" s="2">
        <v>114911</v>
      </c>
      <c r="K543" s="3">
        <v>7.0000000000000007E-2</v>
      </c>
      <c r="L543" t="s">
        <v>19</v>
      </c>
      <c r="M543" t="s">
        <v>20</v>
      </c>
      <c r="N543" s="1" t="s">
        <v>21</v>
      </c>
      <c r="O543" s="1" t="str">
        <f>IF(OR(TBL_Employees[[#This Row],[Exit Date]],FALSE),"Left employees", "Current employees")</f>
        <v>Current employees</v>
      </c>
    </row>
    <row r="544" spans="1:15" x14ac:dyDescent="0.35">
      <c r="A544" t="s">
        <v>192</v>
      </c>
      <c r="B544" t="s">
        <v>1270</v>
      </c>
      <c r="C544" t="s">
        <v>97</v>
      </c>
      <c r="D544" t="s">
        <v>31</v>
      </c>
      <c r="E544" t="s">
        <v>32</v>
      </c>
      <c r="F544" t="s">
        <v>28</v>
      </c>
      <c r="G544" t="s">
        <v>51</v>
      </c>
      <c r="H544">
        <v>45</v>
      </c>
      <c r="I544" s="1">
        <v>43217</v>
      </c>
      <c r="J544" s="2">
        <v>115490</v>
      </c>
      <c r="K544" s="3">
        <v>0.12</v>
      </c>
      <c r="L544" t="s">
        <v>19</v>
      </c>
      <c r="M544" t="s">
        <v>20</v>
      </c>
      <c r="N544" s="1" t="s">
        <v>21</v>
      </c>
      <c r="O544" s="1" t="str">
        <f>IF(OR(TBL_Employees[[#This Row],[Exit Date]],FALSE),"Left employees", "Current employees")</f>
        <v>Current employees</v>
      </c>
    </row>
    <row r="545" spans="1:15" x14ac:dyDescent="0.35">
      <c r="A545" t="s">
        <v>1271</v>
      </c>
      <c r="B545" t="s">
        <v>1272</v>
      </c>
      <c r="C545" t="s">
        <v>62</v>
      </c>
      <c r="D545" t="s">
        <v>65</v>
      </c>
      <c r="E545" t="s">
        <v>44</v>
      </c>
      <c r="F545" t="s">
        <v>28</v>
      </c>
      <c r="G545" t="s">
        <v>24</v>
      </c>
      <c r="H545">
        <v>34</v>
      </c>
      <c r="I545" s="1">
        <v>40952</v>
      </c>
      <c r="J545" s="2">
        <v>118708</v>
      </c>
      <c r="K545" s="3">
        <v>7.0000000000000007E-2</v>
      </c>
      <c r="L545" t="s">
        <v>33</v>
      </c>
      <c r="M545" t="s">
        <v>74</v>
      </c>
      <c r="N545" s="1" t="s">
        <v>21</v>
      </c>
      <c r="O545" s="1" t="str">
        <f>IF(OR(TBL_Employees[[#This Row],[Exit Date]],FALSE),"Left employees", "Current employees")</f>
        <v>Current employees</v>
      </c>
    </row>
    <row r="546" spans="1:15" x14ac:dyDescent="0.35">
      <c r="A546" t="s">
        <v>1273</v>
      </c>
      <c r="B546" t="s">
        <v>1274</v>
      </c>
      <c r="C546" t="s">
        <v>40</v>
      </c>
      <c r="D546" t="s">
        <v>65</v>
      </c>
      <c r="E546" t="s">
        <v>44</v>
      </c>
      <c r="F546" t="s">
        <v>17</v>
      </c>
      <c r="G546" t="s">
        <v>24</v>
      </c>
      <c r="H546">
        <v>29</v>
      </c>
      <c r="I546" s="1">
        <v>42914</v>
      </c>
      <c r="J546" s="2">
        <v>197649</v>
      </c>
      <c r="K546" s="3">
        <v>0.2</v>
      </c>
      <c r="L546" t="s">
        <v>19</v>
      </c>
      <c r="M546" t="s">
        <v>29</v>
      </c>
      <c r="N546" s="1" t="s">
        <v>21</v>
      </c>
      <c r="O546" s="1" t="str">
        <f>IF(OR(TBL_Employees[[#This Row],[Exit Date]],FALSE),"Left employees", "Current employees")</f>
        <v>Current employees</v>
      </c>
    </row>
    <row r="547" spans="1:15" x14ac:dyDescent="0.35">
      <c r="A547" t="s">
        <v>337</v>
      </c>
      <c r="B547" t="s">
        <v>1275</v>
      </c>
      <c r="C547" t="s">
        <v>42</v>
      </c>
      <c r="D547" t="s">
        <v>65</v>
      </c>
      <c r="E547" t="s">
        <v>44</v>
      </c>
      <c r="F547" t="s">
        <v>17</v>
      </c>
      <c r="G547" t="s">
        <v>24</v>
      </c>
      <c r="H547">
        <v>45</v>
      </c>
      <c r="I547" s="1">
        <v>43999</v>
      </c>
      <c r="J547" s="2">
        <v>89841</v>
      </c>
      <c r="K547" s="3">
        <v>0</v>
      </c>
      <c r="L547" t="s">
        <v>33</v>
      </c>
      <c r="M547" t="s">
        <v>60</v>
      </c>
      <c r="N547" s="1" t="s">
        <v>21</v>
      </c>
      <c r="O547" s="1" t="str">
        <f>IF(OR(TBL_Employees[[#This Row],[Exit Date]],FALSE),"Left employees", "Current employees")</f>
        <v>Current employees</v>
      </c>
    </row>
    <row r="548" spans="1:15" x14ac:dyDescent="0.35">
      <c r="A548" t="s">
        <v>572</v>
      </c>
      <c r="B548" t="s">
        <v>1276</v>
      </c>
      <c r="C548" t="s">
        <v>64</v>
      </c>
      <c r="D548" t="s">
        <v>15</v>
      </c>
      <c r="E548" t="s">
        <v>44</v>
      </c>
      <c r="F548" t="s">
        <v>17</v>
      </c>
      <c r="G548" t="s">
        <v>18</v>
      </c>
      <c r="H548">
        <v>52</v>
      </c>
      <c r="I548" s="1">
        <v>43819</v>
      </c>
      <c r="J548" s="2">
        <v>61026</v>
      </c>
      <c r="K548" s="3">
        <v>0</v>
      </c>
      <c r="L548" t="s">
        <v>19</v>
      </c>
      <c r="M548" t="s">
        <v>39</v>
      </c>
      <c r="N548" s="1" t="s">
        <v>21</v>
      </c>
      <c r="O548" s="1" t="str">
        <f>IF(OR(TBL_Employees[[#This Row],[Exit Date]],FALSE),"Left employees", "Current employees")</f>
        <v>Current employees</v>
      </c>
    </row>
    <row r="549" spans="1:15" x14ac:dyDescent="0.35">
      <c r="A549" t="s">
        <v>1277</v>
      </c>
      <c r="B549" t="s">
        <v>1278</v>
      </c>
      <c r="C549" t="s">
        <v>84</v>
      </c>
      <c r="D549" t="s">
        <v>31</v>
      </c>
      <c r="E549" t="s">
        <v>44</v>
      </c>
      <c r="F549" t="s">
        <v>17</v>
      </c>
      <c r="G549" t="s">
        <v>18</v>
      </c>
      <c r="H549">
        <v>48</v>
      </c>
      <c r="I549" s="1">
        <v>41907</v>
      </c>
      <c r="J549" s="2">
        <v>96693</v>
      </c>
      <c r="K549" s="3">
        <v>0</v>
      </c>
      <c r="L549" t="s">
        <v>19</v>
      </c>
      <c r="M549" t="s">
        <v>20</v>
      </c>
      <c r="N549" s="1" t="s">
        <v>21</v>
      </c>
      <c r="O549" s="1" t="str">
        <f>IF(OR(TBL_Employees[[#This Row],[Exit Date]],FALSE),"Left employees", "Current employees")</f>
        <v>Current employees</v>
      </c>
    </row>
    <row r="550" spans="1:15" x14ac:dyDescent="0.35">
      <c r="A550" t="s">
        <v>1279</v>
      </c>
      <c r="B550" t="s">
        <v>1280</v>
      </c>
      <c r="C550" t="s">
        <v>58</v>
      </c>
      <c r="D550" t="s">
        <v>31</v>
      </c>
      <c r="E550" t="s">
        <v>44</v>
      </c>
      <c r="F550" t="s">
        <v>17</v>
      </c>
      <c r="G550" t="s">
        <v>51</v>
      </c>
      <c r="H550">
        <v>48</v>
      </c>
      <c r="I550" s="1">
        <v>39991</v>
      </c>
      <c r="J550" s="2">
        <v>82907</v>
      </c>
      <c r="K550" s="3">
        <v>0</v>
      </c>
      <c r="L550" t="s">
        <v>19</v>
      </c>
      <c r="M550" t="s">
        <v>63</v>
      </c>
      <c r="N550" s="1" t="s">
        <v>21</v>
      </c>
      <c r="O550" s="1" t="str">
        <f>IF(OR(TBL_Employees[[#This Row],[Exit Date]],FALSE),"Left employees", "Current employees")</f>
        <v>Current employees</v>
      </c>
    </row>
    <row r="551" spans="1:15" x14ac:dyDescent="0.35">
      <c r="A551" t="s">
        <v>330</v>
      </c>
      <c r="B551" t="s">
        <v>1281</v>
      </c>
      <c r="C551" t="s">
        <v>14</v>
      </c>
      <c r="D551" t="s">
        <v>43</v>
      </c>
      <c r="E551" t="s">
        <v>32</v>
      </c>
      <c r="F551" t="s">
        <v>28</v>
      </c>
      <c r="G551" t="s">
        <v>24</v>
      </c>
      <c r="H551">
        <v>41</v>
      </c>
      <c r="I551" s="1">
        <v>41916</v>
      </c>
      <c r="J551" s="2">
        <v>257194</v>
      </c>
      <c r="K551" s="3">
        <v>0.35</v>
      </c>
      <c r="L551" t="s">
        <v>33</v>
      </c>
      <c r="M551" t="s">
        <v>80</v>
      </c>
      <c r="N551" s="1" t="s">
        <v>21</v>
      </c>
      <c r="O551" s="1" t="str">
        <f>IF(OR(TBL_Employees[[#This Row],[Exit Date]],FALSE),"Left employees", "Current employees")</f>
        <v>Current employees</v>
      </c>
    </row>
    <row r="552" spans="1:15" x14ac:dyDescent="0.35">
      <c r="A552" t="s">
        <v>1282</v>
      </c>
      <c r="B552" t="s">
        <v>1283</v>
      </c>
      <c r="C552" t="s">
        <v>30</v>
      </c>
      <c r="D552" t="s">
        <v>31</v>
      </c>
      <c r="E552" t="s">
        <v>16</v>
      </c>
      <c r="F552" t="s">
        <v>28</v>
      </c>
      <c r="G552" t="s">
        <v>51</v>
      </c>
      <c r="H552">
        <v>41</v>
      </c>
      <c r="I552" s="1">
        <v>40929</v>
      </c>
      <c r="J552" s="2">
        <v>94658</v>
      </c>
      <c r="K552" s="3">
        <v>0</v>
      </c>
      <c r="L552" t="s">
        <v>19</v>
      </c>
      <c r="M552" t="s">
        <v>45</v>
      </c>
      <c r="N552" s="1" t="s">
        <v>21</v>
      </c>
      <c r="O552" s="1" t="str">
        <f>IF(OR(TBL_Employees[[#This Row],[Exit Date]],FALSE),"Left employees", "Current employees")</f>
        <v>Current employees</v>
      </c>
    </row>
    <row r="553" spans="1:15" x14ac:dyDescent="0.35">
      <c r="A553" t="s">
        <v>1284</v>
      </c>
      <c r="B553" t="s">
        <v>1285</v>
      </c>
      <c r="C553" t="s">
        <v>30</v>
      </c>
      <c r="D553" t="s">
        <v>31</v>
      </c>
      <c r="E553" t="s">
        <v>16</v>
      </c>
      <c r="F553" t="s">
        <v>28</v>
      </c>
      <c r="G553" t="s">
        <v>24</v>
      </c>
      <c r="H553">
        <v>55</v>
      </c>
      <c r="I553" s="1">
        <v>40663</v>
      </c>
      <c r="J553" s="2">
        <v>89419</v>
      </c>
      <c r="K553" s="3">
        <v>0</v>
      </c>
      <c r="L553" t="s">
        <v>33</v>
      </c>
      <c r="M553" t="s">
        <v>74</v>
      </c>
      <c r="N553" s="1" t="s">
        <v>21</v>
      </c>
      <c r="O553" s="1" t="str">
        <f>IF(OR(TBL_Employees[[#This Row],[Exit Date]],FALSE),"Left employees", "Current employees")</f>
        <v>Current employees</v>
      </c>
    </row>
    <row r="554" spans="1:15" x14ac:dyDescent="0.35">
      <c r="A554" t="s">
        <v>119</v>
      </c>
      <c r="B554" t="s">
        <v>1286</v>
      </c>
      <c r="C554" t="s">
        <v>22</v>
      </c>
      <c r="D554" t="s">
        <v>23</v>
      </c>
      <c r="E554" t="s">
        <v>36</v>
      </c>
      <c r="F554" t="s">
        <v>28</v>
      </c>
      <c r="G554" t="s">
        <v>47</v>
      </c>
      <c r="H554">
        <v>45</v>
      </c>
      <c r="I554" s="1">
        <v>42357</v>
      </c>
      <c r="J554" s="2">
        <v>51983</v>
      </c>
      <c r="K554" s="3">
        <v>0</v>
      </c>
      <c r="L554" t="s">
        <v>19</v>
      </c>
      <c r="M554" t="s">
        <v>29</v>
      </c>
      <c r="N554" s="1" t="s">
        <v>21</v>
      </c>
      <c r="O554" s="1" t="str">
        <f>IF(OR(TBL_Employees[[#This Row],[Exit Date]],FALSE),"Left employees", "Current employees")</f>
        <v>Current employees</v>
      </c>
    </row>
    <row r="555" spans="1:15" x14ac:dyDescent="0.35">
      <c r="A555" t="s">
        <v>1287</v>
      </c>
      <c r="B555" t="s">
        <v>1288</v>
      </c>
      <c r="C555" t="s">
        <v>40</v>
      </c>
      <c r="D555" t="s">
        <v>15</v>
      </c>
      <c r="E555" t="s">
        <v>32</v>
      </c>
      <c r="F555" t="s">
        <v>17</v>
      </c>
      <c r="G555" t="s">
        <v>24</v>
      </c>
      <c r="H555">
        <v>53</v>
      </c>
      <c r="I555" s="1">
        <v>37304</v>
      </c>
      <c r="J555" s="2">
        <v>179494</v>
      </c>
      <c r="K555" s="3">
        <v>0.2</v>
      </c>
      <c r="L555" t="s">
        <v>33</v>
      </c>
      <c r="M555" t="s">
        <v>80</v>
      </c>
      <c r="N555" s="1" t="s">
        <v>21</v>
      </c>
      <c r="O555" s="1" t="str">
        <f>IF(OR(TBL_Employees[[#This Row],[Exit Date]],FALSE),"Left employees", "Current employees")</f>
        <v>Current employees</v>
      </c>
    </row>
    <row r="556" spans="1:15" x14ac:dyDescent="0.35">
      <c r="A556" t="s">
        <v>323</v>
      </c>
      <c r="B556" t="s">
        <v>1289</v>
      </c>
      <c r="C556" t="s">
        <v>91</v>
      </c>
      <c r="D556" t="s">
        <v>27</v>
      </c>
      <c r="E556" t="s">
        <v>32</v>
      </c>
      <c r="F556" t="s">
        <v>28</v>
      </c>
      <c r="G556" t="s">
        <v>51</v>
      </c>
      <c r="H556">
        <v>49</v>
      </c>
      <c r="I556" s="1">
        <v>42545</v>
      </c>
      <c r="J556" s="2">
        <v>68426</v>
      </c>
      <c r="K556" s="3">
        <v>0</v>
      </c>
      <c r="L556" t="s">
        <v>52</v>
      </c>
      <c r="M556" t="s">
        <v>66</v>
      </c>
      <c r="N556" s="1" t="s">
        <v>21</v>
      </c>
      <c r="O556" s="1" t="str">
        <f>IF(OR(TBL_Employees[[#This Row],[Exit Date]],FALSE),"Left employees", "Current employees")</f>
        <v>Current employees</v>
      </c>
    </row>
    <row r="557" spans="1:15" x14ac:dyDescent="0.35">
      <c r="A557" t="s">
        <v>398</v>
      </c>
      <c r="B557" t="s">
        <v>1290</v>
      </c>
      <c r="C557" t="s">
        <v>61</v>
      </c>
      <c r="D557" t="s">
        <v>15</v>
      </c>
      <c r="E557" t="s">
        <v>32</v>
      </c>
      <c r="F557" t="s">
        <v>17</v>
      </c>
      <c r="G557" t="s">
        <v>51</v>
      </c>
      <c r="H557">
        <v>55</v>
      </c>
      <c r="I557" s="1">
        <v>42772</v>
      </c>
      <c r="J557" s="2">
        <v>144986</v>
      </c>
      <c r="K557" s="3">
        <v>0.12</v>
      </c>
      <c r="L557" t="s">
        <v>19</v>
      </c>
      <c r="M557" t="s">
        <v>39</v>
      </c>
      <c r="N557" s="1" t="s">
        <v>21</v>
      </c>
      <c r="O557" s="1" t="str">
        <f>IF(OR(TBL_Employees[[#This Row],[Exit Date]],FALSE),"Left employees", "Current employees")</f>
        <v>Current employees</v>
      </c>
    </row>
    <row r="558" spans="1:15" x14ac:dyDescent="0.35">
      <c r="A558" t="s">
        <v>385</v>
      </c>
      <c r="B558" t="s">
        <v>1291</v>
      </c>
      <c r="C558" t="s">
        <v>94</v>
      </c>
      <c r="D558" t="s">
        <v>50</v>
      </c>
      <c r="E558" t="s">
        <v>44</v>
      </c>
      <c r="F558" t="s">
        <v>17</v>
      </c>
      <c r="G558" t="s">
        <v>24</v>
      </c>
      <c r="H558">
        <v>45</v>
      </c>
      <c r="I558" s="1">
        <v>36754</v>
      </c>
      <c r="J558" s="2">
        <v>60113</v>
      </c>
      <c r="K558" s="3">
        <v>0</v>
      </c>
      <c r="L558" t="s">
        <v>19</v>
      </c>
      <c r="M558" t="s">
        <v>20</v>
      </c>
      <c r="N558" s="1" t="s">
        <v>21</v>
      </c>
      <c r="O558" s="1" t="str">
        <f>IF(OR(TBL_Employees[[#This Row],[Exit Date]],FALSE),"Left employees", "Current employees")</f>
        <v>Current employees</v>
      </c>
    </row>
    <row r="559" spans="1:15" x14ac:dyDescent="0.35">
      <c r="A559" t="s">
        <v>558</v>
      </c>
      <c r="B559" t="s">
        <v>1292</v>
      </c>
      <c r="C559" t="s">
        <v>22</v>
      </c>
      <c r="D559" t="s">
        <v>23</v>
      </c>
      <c r="E559" t="s">
        <v>16</v>
      </c>
      <c r="F559" t="s">
        <v>17</v>
      </c>
      <c r="G559" t="s">
        <v>51</v>
      </c>
      <c r="H559">
        <v>52</v>
      </c>
      <c r="I559" s="1">
        <v>44304</v>
      </c>
      <c r="J559" s="2">
        <v>50548</v>
      </c>
      <c r="K559" s="3">
        <v>0</v>
      </c>
      <c r="L559" t="s">
        <v>52</v>
      </c>
      <c r="M559" t="s">
        <v>53</v>
      </c>
      <c r="N559" s="1" t="s">
        <v>21</v>
      </c>
      <c r="O559" s="1" t="str">
        <f>IF(OR(TBL_Employees[[#This Row],[Exit Date]],FALSE),"Left employees", "Current employees")</f>
        <v>Current employees</v>
      </c>
    </row>
    <row r="560" spans="1:15" x14ac:dyDescent="0.35">
      <c r="A560" t="s">
        <v>93</v>
      </c>
      <c r="B560" t="s">
        <v>1293</v>
      </c>
      <c r="C560" t="s">
        <v>64</v>
      </c>
      <c r="D560" t="s">
        <v>43</v>
      </c>
      <c r="E560" t="s">
        <v>36</v>
      </c>
      <c r="F560" t="s">
        <v>17</v>
      </c>
      <c r="G560" t="s">
        <v>18</v>
      </c>
      <c r="H560">
        <v>33</v>
      </c>
      <c r="I560" s="1">
        <v>43904</v>
      </c>
      <c r="J560" s="2">
        <v>68846</v>
      </c>
      <c r="K560" s="3">
        <v>0</v>
      </c>
      <c r="L560" t="s">
        <v>19</v>
      </c>
      <c r="M560" t="s">
        <v>20</v>
      </c>
      <c r="N560" s="1" t="s">
        <v>21</v>
      </c>
      <c r="O560" s="1" t="str">
        <f>IF(OR(TBL_Employees[[#This Row],[Exit Date]],FALSE),"Left employees", "Current employees")</f>
        <v>Current employees</v>
      </c>
    </row>
    <row r="561" spans="1:15" x14ac:dyDescent="0.35">
      <c r="A561" t="s">
        <v>787</v>
      </c>
      <c r="B561" t="s">
        <v>1294</v>
      </c>
      <c r="C561" t="s">
        <v>88</v>
      </c>
      <c r="D561" t="s">
        <v>27</v>
      </c>
      <c r="E561" t="s">
        <v>32</v>
      </c>
      <c r="F561" t="s">
        <v>17</v>
      </c>
      <c r="G561" t="s">
        <v>51</v>
      </c>
      <c r="H561">
        <v>59</v>
      </c>
      <c r="I561" s="1">
        <v>41717</v>
      </c>
      <c r="J561" s="2">
        <v>90901</v>
      </c>
      <c r="K561" s="3">
        <v>0</v>
      </c>
      <c r="L561" t="s">
        <v>19</v>
      </c>
      <c r="M561" t="s">
        <v>63</v>
      </c>
      <c r="N561" s="1" t="s">
        <v>21</v>
      </c>
      <c r="O561" s="1" t="str">
        <f>IF(OR(TBL_Employees[[#This Row],[Exit Date]],FALSE),"Left employees", "Current employees")</f>
        <v>Current employees</v>
      </c>
    </row>
    <row r="562" spans="1:15" x14ac:dyDescent="0.35">
      <c r="A562" t="s">
        <v>1295</v>
      </c>
      <c r="B562" t="s">
        <v>1296</v>
      </c>
      <c r="C562" t="s">
        <v>62</v>
      </c>
      <c r="D562" t="s">
        <v>65</v>
      </c>
      <c r="E562" t="s">
        <v>32</v>
      </c>
      <c r="F562" t="s">
        <v>17</v>
      </c>
      <c r="G562" t="s">
        <v>24</v>
      </c>
      <c r="H562">
        <v>50</v>
      </c>
      <c r="I562" s="1">
        <v>41155</v>
      </c>
      <c r="J562" s="2">
        <v>102033</v>
      </c>
      <c r="K562" s="3">
        <v>0.08</v>
      </c>
      <c r="L562" t="s">
        <v>19</v>
      </c>
      <c r="M562" t="s">
        <v>25</v>
      </c>
      <c r="N562" s="1" t="s">
        <v>21</v>
      </c>
      <c r="O562" s="1" t="str">
        <f>IF(OR(TBL_Employees[[#This Row],[Exit Date]],FALSE),"Left employees", "Current employees")</f>
        <v>Current employees</v>
      </c>
    </row>
    <row r="563" spans="1:15" x14ac:dyDescent="0.35">
      <c r="A563" t="s">
        <v>1297</v>
      </c>
      <c r="B563" t="s">
        <v>1298</v>
      </c>
      <c r="C563" t="s">
        <v>40</v>
      </c>
      <c r="D563" t="s">
        <v>50</v>
      </c>
      <c r="E563" t="s">
        <v>36</v>
      </c>
      <c r="F563" t="s">
        <v>17</v>
      </c>
      <c r="G563" t="s">
        <v>18</v>
      </c>
      <c r="H563">
        <v>61</v>
      </c>
      <c r="I563" s="1">
        <v>44219</v>
      </c>
      <c r="J563" s="2">
        <v>151783</v>
      </c>
      <c r="K563" s="3">
        <v>0.26</v>
      </c>
      <c r="L563" t="s">
        <v>19</v>
      </c>
      <c r="M563" t="s">
        <v>63</v>
      </c>
      <c r="N563" s="1" t="s">
        <v>21</v>
      </c>
      <c r="O563" s="1" t="str">
        <f>IF(OR(TBL_Employees[[#This Row],[Exit Date]],FALSE),"Left employees", "Current employees")</f>
        <v>Current employees</v>
      </c>
    </row>
    <row r="564" spans="1:15" x14ac:dyDescent="0.35">
      <c r="A564" t="s">
        <v>388</v>
      </c>
      <c r="B564" t="s">
        <v>1299</v>
      </c>
      <c r="C564" t="s">
        <v>40</v>
      </c>
      <c r="D564" t="s">
        <v>31</v>
      </c>
      <c r="E564" t="s">
        <v>32</v>
      </c>
      <c r="F564" t="s">
        <v>17</v>
      </c>
      <c r="G564" t="s">
        <v>51</v>
      </c>
      <c r="H564">
        <v>27</v>
      </c>
      <c r="I564" s="1">
        <v>43441</v>
      </c>
      <c r="J564" s="2">
        <v>170164</v>
      </c>
      <c r="K564" s="3">
        <v>0.17</v>
      </c>
      <c r="L564" t="s">
        <v>19</v>
      </c>
      <c r="M564" t="s">
        <v>25</v>
      </c>
      <c r="N564" s="1" t="s">
        <v>21</v>
      </c>
      <c r="O564" s="1" t="str">
        <f>IF(OR(TBL_Employees[[#This Row],[Exit Date]],FALSE),"Left employees", "Current employees")</f>
        <v>Current employees</v>
      </c>
    </row>
    <row r="565" spans="1:15" x14ac:dyDescent="0.35">
      <c r="A565" t="s">
        <v>123</v>
      </c>
      <c r="B565" t="s">
        <v>1300</v>
      </c>
      <c r="C565" t="s">
        <v>61</v>
      </c>
      <c r="D565" t="s">
        <v>43</v>
      </c>
      <c r="E565" t="s">
        <v>44</v>
      </c>
      <c r="F565" t="s">
        <v>17</v>
      </c>
      <c r="G565" t="s">
        <v>24</v>
      </c>
      <c r="H565">
        <v>35</v>
      </c>
      <c r="I565" s="1">
        <v>41690</v>
      </c>
      <c r="J565" s="2">
        <v>155905</v>
      </c>
      <c r="K565" s="3">
        <v>0.14000000000000001</v>
      </c>
      <c r="L565" t="s">
        <v>19</v>
      </c>
      <c r="M565" t="s">
        <v>39</v>
      </c>
      <c r="N565" s="1" t="s">
        <v>21</v>
      </c>
      <c r="O565" s="1" t="str">
        <f>IF(OR(TBL_Employees[[#This Row],[Exit Date]],FALSE),"Left employees", "Current employees")</f>
        <v>Current employees</v>
      </c>
    </row>
    <row r="566" spans="1:15" x14ac:dyDescent="0.35">
      <c r="A566" t="s">
        <v>1094</v>
      </c>
      <c r="B566" t="s">
        <v>1301</v>
      </c>
      <c r="C566" t="s">
        <v>68</v>
      </c>
      <c r="D566" t="s">
        <v>50</v>
      </c>
      <c r="E566" t="s">
        <v>32</v>
      </c>
      <c r="F566" t="s">
        <v>28</v>
      </c>
      <c r="G566" t="s">
        <v>24</v>
      </c>
      <c r="H566">
        <v>40</v>
      </c>
      <c r="I566" s="1">
        <v>42721</v>
      </c>
      <c r="J566" s="2">
        <v>50733</v>
      </c>
      <c r="K566" s="3">
        <v>0</v>
      </c>
      <c r="L566" t="s">
        <v>19</v>
      </c>
      <c r="M566" t="s">
        <v>45</v>
      </c>
      <c r="N566" s="1" t="s">
        <v>21</v>
      </c>
      <c r="O566" s="1" t="str">
        <f>IF(OR(TBL_Employees[[#This Row],[Exit Date]],FALSE),"Left employees", "Current employees")</f>
        <v>Current employees</v>
      </c>
    </row>
    <row r="567" spans="1:15" x14ac:dyDescent="0.35">
      <c r="A567" t="s">
        <v>148</v>
      </c>
      <c r="B567" t="s">
        <v>1302</v>
      </c>
      <c r="C567" t="s">
        <v>77</v>
      </c>
      <c r="D567" t="s">
        <v>23</v>
      </c>
      <c r="E567" t="s">
        <v>32</v>
      </c>
      <c r="F567" t="s">
        <v>17</v>
      </c>
      <c r="G567" t="s">
        <v>18</v>
      </c>
      <c r="H567">
        <v>30</v>
      </c>
      <c r="I567" s="1">
        <v>42761</v>
      </c>
      <c r="J567" s="2">
        <v>88663</v>
      </c>
      <c r="K567" s="3">
        <v>0</v>
      </c>
      <c r="L567" t="s">
        <v>19</v>
      </c>
      <c r="M567" t="s">
        <v>39</v>
      </c>
      <c r="N567" s="1" t="s">
        <v>21</v>
      </c>
      <c r="O567" s="1" t="str">
        <f>IF(OR(TBL_Employees[[#This Row],[Exit Date]],FALSE),"Left employees", "Current employees")</f>
        <v>Current employees</v>
      </c>
    </row>
    <row r="568" spans="1:15" x14ac:dyDescent="0.35">
      <c r="A568" t="s">
        <v>158</v>
      </c>
      <c r="B568" t="s">
        <v>1303</v>
      </c>
      <c r="C568" t="s">
        <v>129</v>
      </c>
      <c r="D568" t="s">
        <v>31</v>
      </c>
      <c r="E568" t="s">
        <v>36</v>
      </c>
      <c r="F568" t="s">
        <v>28</v>
      </c>
      <c r="G568" t="s">
        <v>24</v>
      </c>
      <c r="H568">
        <v>60</v>
      </c>
      <c r="I568" s="1">
        <v>33890</v>
      </c>
      <c r="J568" s="2">
        <v>88213</v>
      </c>
      <c r="K568" s="3">
        <v>0</v>
      </c>
      <c r="L568" t="s">
        <v>33</v>
      </c>
      <c r="M568" t="s">
        <v>80</v>
      </c>
      <c r="N568" s="1" t="s">
        <v>21</v>
      </c>
      <c r="O568" s="1" t="str">
        <f>IF(OR(TBL_Employees[[#This Row],[Exit Date]],FALSE),"Left employees", "Current employees")</f>
        <v>Current employees</v>
      </c>
    </row>
    <row r="569" spans="1:15" x14ac:dyDescent="0.35">
      <c r="A569" t="s">
        <v>250</v>
      </c>
      <c r="B569" t="s">
        <v>1304</v>
      </c>
      <c r="C569" t="s">
        <v>64</v>
      </c>
      <c r="D569" t="s">
        <v>50</v>
      </c>
      <c r="E569" t="s">
        <v>44</v>
      </c>
      <c r="F569" t="s">
        <v>28</v>
      </c>
      <c r="G569" t="s">
        <v>24</v>
      </c>
      <c r="H569">
        <v>55</v>
      </c>
      <c r="I569" s="1">
        <v>44410</v>
      </c>
      <c r="J569" s="2">
        <v>67130</v>
      </c>
      <c r="K569" s="3">
        <v>0</v>
      </c>
      <c r="L569" t="s">
        <v>19</v>
      </c>
      <c r="M569" t="s">
        <v>45</v>
      </c>
      <c r="N569" s="1" t="s">
        <v>21</v>
      </c>
      <c r="O569" s="1" t="str">
        <f>IF(OR(TBL_Employees[[#This Row],[Exit Date]],FALSE),"Left employees", "Current employees")</f>
        <v>Current employees</v>
      </c>
    </row>
    <row r="570" spans="1:15" x14ac:dyDescent="0.35">
      <c r="A570" t="s">
        <v>610</v>
      </c>
      <c r="B570" t="s">
        <v>1305</v>
      </c>
      <c r="C570" t="s">
        <v>42</v>
      </c>
      <c r="D570" t="s">
        <v>15</v>
      </c>
      <c r="E570" t="s">
        <v>44</v>
      </c>
      <c r="F570" t="s">
        <v>17</v>
      </c>
      <c r="G570" t="s">
        <v>24</v>
      </c>
      <c r="H570">
        <v>33</v>
      </c>
      <c r="I570" s="1">
        <v>42285</v>
      </c>
      <c r="J570" s="2">
        <v>94876</v>
      </c>
      <c r="K570" s="3">
        <v>0</v>
      </c>
      <c r="L570" t="s">
        <v>19</v>
      </c>
      <c r="M570" t="s">
        <v>45</v>
      </c>
      <c r="N570" s="1" t="s">
        <v>21</v>
      </c>
      <c r="O570" s="1" t="str">
        <f>IF(OR(TBL_Employees[[#This Row],[Exit Date]],FALSE),"Left employees", "Current employees")</f>
        <v>Current employees</v>
      </c>
    </row>
    <row r="571" spans="1:15" x14ac:dyDescent="0.35">
      <c r="A571" t="s">
        <v>1306</v>
      </c>
      <c r="B571" t="s">
        <v>1307</v>
      </c>
      <c r="C571" t="s">
        <v>86</v>
      </c>
      <c r="D571" t="s">
        <v>31</v>
      </c>
      <c r="E571" t="s">
        <v>44</v>
      </c>
      <c r="F571" t="s">
        <v>28</v>
      </c>
      <c r="G571" t="s">
        <v>51</v>
      </c>
      <c r="H571">
        <v>62</v>
      </c>
      <c r="I571" s="1">
        <v>34616</v>
      </c>
      <c r="J571" s="2">
        <v>98230</v>
      </c>
      <c r="K571" s="3">
        <v>0</v>
      </c>
      <c r="L571" t="s">
        <v>19</v>
      </c>
      <c r="M571" t="s">
        <v>45</v>
      </c>
      <c r="N571" s="1" t="s">
        <v>21</v>
      </c>
      <c r="O571" s="1" t="str">
        <f>IF(OR(TBL_Employees[[#This Row],[Exit Date]],FALSE),"Left employees", "Current employees")</f>
        <v>Current employees</v>
      </c>
    </row>
    <row r="572" spans="1:15" x14ac:dyDescent="0.35">
      <c r="A572" t="s">
        <v>1308</v>
      </c>
      <c r="B572" t="s">
        <v>1309</v>
      </c>
      <c r="C572" t="s">
        <v>58</v>
      </c>
      <c r="D572" t="s">
        <v>31</v>
      </c>
      <c r="E572" t="s">
        <v>16</v>
      </c>
      <c r="F572" t="s">
        <v>17</v>
      </c>
      <c r="G572" t="s">
        <v>24</v>
      </c>
      <c r="H572">
        <v>36</v>
      </c>
      <c r="I572" s="1">
        <v>43448</v>
      </c>
      <c r="J572" s="2">
        <v>96757</v>
      </c>
      <c r="K572" s="3">
        <v>0</v>
      </c>
      <c r="L572" t="s">
        <v>19</v>
      </c>
      <c r="M572" t="s">
        <v>29</v>
      </c>
      <c r="N572" s="1" t="s">
        <v>21</v>
      </c>
      <c r="O572" s="1" t="str">
        <f>IF(OR(TBL_Employees[[#This Row],[Exit Date]],FALSE),"Left employees", "Current employees")</f>
        <v>Current employees</v>
      </c>
    </row>
    <row r="573" spans="1:15" x14ac:dyDescent="0.35">
      <c r="A573" t="s">
        <v>1310</v>
      </c>
      <c r="B573" t="s">
        <v>1311</v>
      </c>
      <c r="C573" t="s">
        <v>64</v>
      </c>
      <c r="D573" t="s">
        <v>43</v>
      </c>
      <c r="E573" t="s">
        <v>36</v>
      </c>
      <c r="F573" t="s">
        <v>28</v>
      </c>
      <c r="G573" t="s">
        <v>47</v>
      </c>
      <c r="H573">
        <v>35</v>
      </c>
      <c r="I573" s="1">
        <v>44015</v>
      </c>
      <c r="J573" s="2">
        <v>51513</v>
      </c>
      <c r="K573" s="3">
        <v>0</v>
      </c>
      <c r="L573" t="s">
        <v>19</v>
      </c>
      <c r="M573" t="s">
        <v>29</v>
      </c>
      <c r="N573" s="1" t="s">
        <v>21</v>
      </c>
      <c r="O573" s="1" t="str">
        <f>IF(OR(TBL_Employees[[#This Row],[Exit Date]],FALSE),"Left employees", "Current employees")</f>
        <v>Current employees</v>
      </c>
    </row>
    <row r="574" spans="1:15" x14ac:dyDescent="0.35">
      <c r="A574" t="s">
        <v>1312</v>
      </c>
      <c r="B574" t="s">
        <v>1313</v>
      </c>
      <c r="C574" t="s">
        <v>14</v>
      </c>
      <c r="D574" t="s">
        <v>43</v>
      </c>
      <c r="E574" t="s">
        <v>32</v>
      </c>
      <c r="F574" t="s">
        <v>28</v>
      </c>
      <c r="G574" t="s">
        <v>24</v>
      </c>
      <c r="H574">
        <v>60</v>
      </c>
      <c r="I574" s="1">
        <v>39109</v>
      </c>
      <c r="J574" s="2">
        <v>234311</v>
      </c>
      <c r="K574" s="3">
        <v>0.37</v>
      </c>
      <c r="L574" t="s">
        <v>19</v>
      </c>
      <c r="M574" t="s">
        <v>45</v>
      </c>
      <c r="N574" s="1" t="s">
        <v>21</v>
      </c>
      <c r="O574" s="1" t="str">
        <f>IF(OR(TBL_Employees[[#This Row],[Exit Date]],FALSE),"Left employees", "Current employees")</f>
        <v>Current employees</v>
      </c>
    </row>
    <row r="575" spans="1:15" x14ac:dyDescent="0.35">
      <c r="A575" t="s">
        <v>1314</v>
      </c>
      <c r="B575" t="s">
        <v>1315</v>
      </c>
      <c r="C575" t="s">
        <v>61</v>
      </c>
      <c r="D575" t="s">
        <v>23</v>
      </c>
      <c r="E575" t="s">
        <v>44</v>
      </c>
      <c r="F575" t="s">
        <v>17</v>
      </c>
      <c r="G575" t="s">
        <v>51</v>
      </c>
      <c r="H575">
        <v>45</v>
      </c>
      <c r="I575" s="1">
        <v>40685</v>
      </c>
      <c r="J575" s="2">
        <v>152353</v>
      </c>
      <c r="K575" s="3">
        <v>0.14000000000000001</v>
      </c>
      <c r="L575" t="s">
        <v>19</v>
      </c>
      <c r="M575" t="s">
        <v>63</v>
      </c>
      <c r="N575" s="1" t="s">
        <v>21</v>
      </c>
      <c r="O575" s="1" t="str">
        <f>IF(OR(TBL_Employees[[#This Row],[Exit Date]],FALSE),"Left employees", "Current employees")</f>
        <v>Current employees</v>
      </c>
    </row>
    <row r="576" spans="1:15" x14ac:dyDescent="0.35">
      <c r="A576" t="s">
        <v>254</v>
      </c>
      <c r="B576" t="s">
        <v>1316</v>
      </c>
      <c r="C576" t="s">
        <v>61</v>
      </c>
      <c r="D576" t="s">
        <v>65</v>
      </c>
      <c r="E576" t="s">
        <v>44</v>
      </c>
      <c r="F576" t="s">
        <v>17</v>
      </c>
      <c r="G576" t="s">
        <v>18</v>
      </c>
      <c r="H576">
        <v>48</v>
      </c>
      <c r="I576" s="1">
        <v>40389</v>
      </c>
      <c r="J576" s="2">
        <v>124774</v>
      </c>
      <c r="K576" s="3">
        <v>0.12</v>
      </c>
      <c r="L576" t="s">
        <v>19</v>
      </c>
      <c r="M576" t="s">
        <v>39</v>
      </c>
      <c r="N576" s="1" t="s">
        <v>21</v>
      </c>
      <c r="O576" s="1" t="str">
        <f>IF(OR(TBL_Employees[[#This Row],[Exit Date]],FALSE),"Left employees", "Current employees")</f>
        <v>Current employees</v>
      </c>
    </row>
    <row r="577" spans="1:15" x14ac:dyDescent="0.35">
      <c r="A577" t="s">
        <v>1085</v>
      </c>
      <c r="B577" t="s">
        <v>1317</v>
      </c>
      <c r="C577" t="s">
        <v>40</v>
      </c>
      <c r="D577" t="s">
        <v>43</v>
      </c>
      <c r="E577" t="s">
        <v>32</v>
      </c>
      <c r="F577" t="s">
        <v>17</v>
      </c>
      <c r="G577" t="s">
        <v>24</v>
      </c>
      <c r="H577">
        <v>36</v>
      </c>
      <c r="I577" s="1">
        <v>40434</v>
      </c>
      <c r="J577" s="2">
        <v>157070</v>
      </c>
      <c r="K577" s="3">
        <v>0.28000000000000003</v>
      </c>
      <c r="L577" t="s">
        <v>33</v>
      </c>
      <c r="M577" t="s">
        <v>80</v>
      </c>
      <c r="N577" s="1" t="s">
        <v>21</v>
      </c>
      <c r="O577" s="1" t="str">
        <f>IF(OR(TBL_Employees[[#This Row],[Exit Date]],FALSE),"Left employees", "Current employees")</f>
        <v>Current employees</v>
      </c>
    </row>
    <row r="578" spans="1:15" x14ac:dyDescent="0.35">
      <c r="A578" t="s">
        <v>1318</v>
      </c>
      <c r="B578" t="s">
        <v>1319</v>
      </c>
      <c r="C578" t="s">
        <v>61</v>
      </c>
      <c r="D578" t="s">
        <v>15</v>
      </c>
      <c r="E578" t="s">
        <v>44</v>
      </c>
      <c r="F578" t="s">
        <v>28</v>
      </c>
      <c r="G578" t="s">
        <v>51</v>
      </c>
      <c r="H578">
        <v>44</v>
      </c>
      <c r="I578" s="1">
        <v>43685</v>
      </c>
      <c r="J578" s="2">
        <v>130133</v>
      </c>
      <c r="K578" s="3">
        <v>0.15</v>
      </c>
      <c r="L578" t="s">
        <v>19</v>
      </c>
      <c r="M578" t="s">
        <v>25</v>
      </c>
      <c r="N578" s="1">
        <v>44699</v>
      </c>
      <c r="O578" s="1" t="str">
        <f>IF(OR(TBL_Employees[[#This Row],[Exit Date]],FALSE),"Left employees", "Current employees")</f>
        <v>Left employees</v>
      </c>
    </row>
    <row r="579" spans="1:15" x14ac:dyDescent="0.35">
      <c r="A579" t="s">
        <v>1320</v>
      </c>
      <c r="B579" t="s">
        <v>237</v>
      </c>
      <c r="C579" t="s">
        <v>62</v>
      </c>
      <c r="D579" t="s">
        <v>43</v>
      </c>
      <c r="E579" t="s">
        <v>36</v>
      </c>
      <c r="F579" t="s">
        <v>17</v>
      </c>
      <c r="G579" t="s">
        <v>24</v>
      </c>
      <c r="H579">
        <v>64</v>
      </c>
      <c r="I579" s="1">
        <v>43729</v>
      </c>
      <c r="J579" s="2">
        <v>108780</v>
      </c>
      <c r="K579" s="3">
        <v>0.06</v>
      </c>
      <c r="L579" t="s">
        <v>33</v>
      </c>
      <c r="M579" t="s">
        <v>74</v>
      </c>
      <c r="N579" s="1" t="s">
        <v>21</v>
      </c>
      <c r="O579" s="1" t="str">
        <f>IF(OR(TBL_Employees[[#This Row],[Exit Date]],FALSE),"Left employees", "Current employees")</f>
        <v>Current employees</v>
      </c>
    </row>
    <row r="580" spans="1:15" x14ac:dyDescent="0.35">
      <c r="A580" t="s">
        <v>1321</v>
      </c>
      <c r="B580" t="s">
        <v>1322</v>
      </c>
      <c r="C580" t="s">
        <v>40</v>
      </c>
      <c r="D580" t="s">
        <v>31</v>
      </c>
      <c r="E580" t="s">
        <v>44</v>
      </c>
      <c r="F580" t="s">
        <v>17</v>
      </c>
      <c r="G580" t="s">
        <v>24</v>
      </c>
      <c r="H580">
        <v>46</v>
      </c>
      <c r="I580" s="1">
        <v>44125</v>
      </c>
      <c r="J580" s="2">
        <v>151853</v>
      </c>
      <c r="K580" s="3">
        <v>0.16</v>
      </c>
      <c r="L580" t="s">
        <v>33</v>
      </c>
      <c r="M580" t="s">
        <v>34</v>
      </c>
      <c r="N580" s="1" t="s">
        <v>21</v>
      </c>
      <c r="O580" s="1" t="str">
        <f>IF(OR(TBL_Employees[[#This Row],[Exit Date]],FALSE),"Left employees", "Current employees")</f>
        <v>Current employees</v>
      </c>
    </row>
    <row r="581" spans="1:15" x14ac:dyDescent="0.35">
      <c r="A581" t="s">
        <v>1323</v>
      </c>
      <c r="B581" t="s">
        <v>1324</v>
      </c>
      <c r="C581" t="s">
        <v>94</v>
      </c>
      <c r="D581" t="s">
        <v>50</v>
      </c>
      <c r="E581" t="s">
        <v>36</v>
      </c>
      <c r="F581" t="s">
        <v>17</v>
      </c>
      <c r="G581" t="s">
        <v>24</v>
      </c>
      <c r="H581">
        <v>62</v>
      </c>
      <c r="I581" s="1">
        <v>38977</v>
      </c>
      <c r="J581" s="2">
        <v>64669</v>
      </c>
      <c r="K581" s="3">
        <v>0</v>
      </c>
      <c r="L581" t="s">
        <v>33</v>
      </c>
      <c r="M581" t="s">
        <v>80</v>
      </c>
      <c r="N581" s="1" t="s">
        <v>21</v>
      </c>
      <c r="O581" s="1" t="str">
        <f>IF(OR(TBL_Employees[[#This Row],[Exit Date]],FALSE),"Left employees", "Current employees")</f>
        <v>Current employees</v>
      </c>
    </row>
    <row r="582" spans="1:15" x14ac:dyDescent="0.35">
      <c r="A582" t="s">
        <v>1325</v>
      </c>
      <c r="B582" t="s">
        <v>1326</v>
      </c>
      <c r="C582" t="s">
        <v>64</v>
      </c>
      <c r="D582" t="s">
        <v>43</v>
      </c>
      <c r="E582" t="s">
        <v>16</v>
      </c>
      <c r="F582" t="s">
        <v>28</v>
      </c>
      <c r="G582" t="s">
        <v>51</v>
      </c>
      <c r="H582">
        <v>61</v>
      </c>
      <c r="I582" s="1">
        <v>39568</v>
      </c>
      <c r="J582" s="2">
        <v>69352</v>
      </c>
      <c r="K582" s="3">
        <v>0</v>
      </c>
      <c r="L582" t="s">
        <v>52</v>
      </c>
      <c r="M582" t="s">
        <v>66</v>
      </c>
      <c r="N582" s="1" t="s">
        <v>21</v>
      </c>
      <c r="O582" s="1" t="str">
        <f>IF(OR(TBL_Employees[[#This Row],[Exit Date]],FALSE),"Left employees", "Current employees")</f>
        <v>Current employees</v>
      </c>
    </row>
    <row r="583" spans="1:15" x14ac:dyDescent="0.35">
      <c r="A583" t="s">
        <v>268</v>
      </c>
      <c r="B583" t="s">
        <v>1327</v>
      </c>
      <c r="C583" t="s">
        <v>64</v>
      </c>
      <c r="D583" t="s">
        <v>43</v>
      </c>
      <c r="E583" t="s">
        <v>16</v>
      </c>
      <c r="F583" t="s">
        <v>28</v>
      </c>
      <c r="G583" t="s">
        <v>24</v>
      </c>
      <c r="H583">
        <v>65</v>
      </c>
      <c r="I583" s="1">
        <v>37181</v>
      </c>
      <c r="J583" s="2">
        <v>74631</v>
      </c>
      <c r="K583" s="3">
        <v>0</v>
      </c>
      <c r="L583" t="s">
        <v>33</v>
      </c>
      <c r="M583" t="s">
        <v>80</v>
      </c>
      <c r="N583" s="1" t="s">
        <v>21</v>
      </c>
      <c r="O583" s="1" t="str">
        <f>IF(OR(TBL_Employees[[#This Row],[Exit Date]],FALSE),"Left employees", "Current employees")</f>
        <v>Current employees</v>
      </c>
    </row>
    <row r="584" spans="1:15" x14ac:dyDescent="0.35">
      <c r="A584" t="s">
        <v>1328</v>
      </c>
      <c r="B584" t="s">
        <v>133</v>
      </c>
      <c r="C584" t="s">
        <v>30</v>
      </c>
      <c r="D584" t="s">
        <v>31</v>
      </c>
      <c r="E584" t="s">
        <v>44</v>
      </c>
      <c r="F584" t="s">
        <v>28</v>
      </c>
      <c r="G584" t="s">
        <v>51</v>
      </c>
      <c r="H584">
        <v>54</v>
      </c>
      <c r="I584" s="1">
        <v>41028</v>
      </c>
      <c r="J584" s="2">
        <v>96441</v>
      </c>
      <c r="K584" s="3">
        <v>0</v>
      </c>
      <c r="L584" t="s">
        <v>52</v>
      </c>
      <c r="M584" t="s">
        <v>53</v>
      </c>
      <c r="N584" s="1" t="s">
        <v>21</v>
      </c>
      <c r="O584" s="1" t="str">
        <f>IF(OR(TBL_Employees[[#This Row],[Exit Date]],FALSE),"Left employees", "Current employees")</f>
        <v>Current employees</v>
      </c>
    </row>
    <row r="585" spans="1:15" x14ac:dyDescent="0.35">
      <c r="A585" t="s">
        <v>1329</v>
      </c>
      <c r="B585" t="s">
        <v>1330</v>
      </c>
      <c r="C585" t="s">
        <v>97</v>
      </c>
      <c r="D585" t="s">
        <v>31</v>
      </c>
      <c r="E585" t="s">
        <v>44</v>
      </c>
      <c r="F585" t="s">
        <v>28</v>
      </c>
      <c r="G585" t="s">
        <v>24</v>
      </c>
      <c r="H585">
        <v>46</v>
      </c>
      <c r="I585" s="1">
        <v>40836</v>
      </c>
      <c r="J585" s="2">
        <v>114250</v>
      </c>
      <c r="K585" s="3">
        <v>0.14000000000000001</v>
      </c>
      <c r="L585" t="s">
        <v>33</v>
      </c>
      <c r="M585" t="s">
        <v>34</v>
      </c>
      <c r="N585" s="1" t="s">
        <v>21</v>
      </c>
      <c r="O585" s="1" t="str">
        <f>IF(OR(TBL_Employees[[#This Row],[Exit Date]],FALSE),"Left employees", "Current employees")</f>
        <v>Current employees</v>
      </c>
    </row>
    <row r="586" spans="1:15" x14ac:dyDescent="0.35">
      <c r="A586" t="s">
        <v>1331</v>
      </c>
      <c r="B586" t="s">
        <v>1332</v>
      </c>
      <c r="C586" t="s">
        <v>56</v>
      </c>
      <c r="D586" t="s">
        <v>27</v>
      </c>
      <c r="E586" t="s">
        <v>32</v>
      </c>
      <c r="F586" t="s">
        <v>28</v>
      </c>
      <c r="G586" t="s">
        <v>51</v>
      </c>
      <c r="H586">
        <v>36</v>
      </c>
      <c r="I586" s="1">
        <v>44192</v>
      </c>
      <c r="J586" s="2">
        <v>70165</v>
      </c>
      <c r="K586" s="3">
        <v>7.0000000000000007E-2</v>
      </c>
      <c r="L586" t="s">
        <v>52</v>
      </c>
      <c r="M586" t="s">
        <v>81</v>
      </c>
      <c r="N586" s="1" t="s">
        <v>21</v>
      </c>
      <c r="O586" s="1" t="str">
        <f>IF(OR(TBL_Employees[[#This Row],[Exit Date]],FALSE),"Left employees", "Current employees")</f>
        <v>Current employees</v>
      </c>
    </row>
    <row r="587" spans="1:15" x14ac:dyDescent="0.35">
      <c r="A587" t="s">
        <v>1333</v>
      </c>
      <c r="B587" t="s">
        <v>1334</v>
      </c>
      <c r="C587" t="s">
        <v>62</v>
      </c>
      <c r="D587" t="s">
        <v>27</v>
      </c>
      <c r="E587" t="s">
        <v>32</v>
      </c>
      <c r="F587" t="s">
        <v>28</v>
      </c>
      <c r="G587" t="s">
        <v>24</v>
      </c>
      <c r="H587">
        <v>60</v>
      </c>
      <c r="I587" s="1">
        <v>36554</v>
      </c>
      <c r="J587" s="2">
        <v>109059</v>
      </c>
      <c r="K587" s="3">
        <v>7.0000000000000007E-2</v>
      </c>
      <c r="L587" t="s">
        <v>33</v>
      </c>
      <c r="M587" t="s">
        <v>34</v>
      </c>
      <c r="N587" s="1" t="s">
        <v>21</v>
      </c>
      <c r="O587" s="1" t="str">
        <f>IF(OR(TBL_Employees[[#This Row],[Exit Date]],FALSE),"Left employees", "Current employees")</f>
        <v>Current employees</v>
      </c>
    </row>
    <row r="588" spans="1:15" x14ac:dyDescent="0.35">
      <c r="A588" t="s">
        <v>353</v>
      </c>
      <c r="B588" t="s">
        <v>1335</v>
      </c>
      <c r="C588" t="s">
        <v>69</v>
      </c>
      <c r="D588" t="s">
        <v>31</v>
      </c>
      <c r="E588" t="s">
        <v>16</v>
      </c>
      <c r="F588" t="s">
        <v>17</v>
      </c>
      <c r="G588" t="s">
        <v>24</v>
      </c>
      <c r="H588">
        <v>30</v>
      </c>
      <c r="I588" s="1">
        <v>42322</v>
      </c>
      <c r="J588" s="2">
        <v>77442</v>
      </c>
      <c r="K588" s="3">
        <v>0</v>
      </c>
      <c r="L588" t="s">
        <v>19</v>
      </c>
      <c r="M588" t="s">
        <v>29</v>
      </c>
      <c r="N588" s="1" t="s">
        <v>21</v>
      </c>
      <c r="O588" s="1" t="str">
        <f>IF(OR(TBL_Employees[[#This Row],[Exit Date]],FALSE),"Left employees", "Current employees")</f>
        <v>Current employees</v>
      </c>
    </row>
    <row r="589" spans="1:15" x14ac:dyDescent="0.35">
      <c r="A589" t="s">
        <v>1336</v>
      </c>
      <c r="B589" t="s">
        <v>1337</v>
      </c>
      <c r="C589" t="s">
        <v>64</v>
      </c>
      <c r="D589" t="s">
        <v>50</v>
      </c>
      <c r="E589" t="s">
        <v>32</v>
      </c>
      <c r="F589" t="s">
        <v>17</v>
      </c>
      <c r="G589" t="s">
        <v>51</v>
      </c>
      <c r="H589">
        <v>34</v>
      </c>
      <c r="I589" s="1">
        <v>41066</v>
      </c>
      <c r="J589" s="2">
        <v>72126</v>
      </c>
      <c r="K589" s="3">
        <v>0</v>
      </c>
      <c r="L589" t="s">
        <v>52</v>
      </c>
      <c r="M589" t="s">
        <v>81</v>
      </c>
      <c r="N589" s="1" t="s">
        <v>21</v>
      </c>
      <c r="O589" s="1" t="str">
        <f>IF(OR(TBL_Employees[[#This Row],[Exit Date]],FALSE),"Left employees", "Current employees")</f>
        <v>Current employees</v>
      </c>
    </row>
    <row r="590" spans="1:15" x14ac:dyDescent="0.35">
      <c r="A590" t="s">
        <v>1338</v>
      </c>
      <c r="B590" t="s">
        <v>1339</v>
      </c>
      <c r="C590" t="s">
        <v>82</v>
      </c>
      <c r="D590" t="s">
        <v>27</v>
      </c>
      <c r="E590" t="s">
        <v>36</v>
      </c>
      <c r="F590" t="s">
        <v>28</v>
      </c>
      <c r="G590" t="s">
        <v>18</v>
      </c>
      <c r="H590">
        <v>55</v>
      </c>
      <c r="I590" s="1">
        <v>41565</v>
      </c>
      <c r="J590" s="2">
        <v>70334</v>
      </c>
      <c r="K590" s="3">
        <v>0</v>
      </c>
      <c r="L590" t="s">
        <v>19</v>
      </c>
      <c r="M590" t="s">
        <v>45</v>
      </c>
      <c r="N590" s="1" t="s">
        <v>21</v>
      </c>
      <c r="O590" s="1" t="str">
        <f>IF(OR(TBL_Employees[[#This Row],[Exit Date]],FALSE),"Left employees", "Current employees")</f>
        <v>Current employees</v>
      </c>
    </row>
    <row r="591" spans="1:15" x14ac:dyDescent="0.35">
      <c r="A591" t="s">
        <v>1340</v>
      </c>
      <c r="B591" t="s">
        <v>1341</v>
      </c>
      <c r="C591" t="s">
        <v>30</v>
      </c>
      <c r="D591" t="s">
        <v>31</v>
      </c>
      <c r="E591" t="s">
        <v>16</v>
      </c>
      <c r="F591" t="s">
        <v>28</v>
      </c>
      <c r="G591" t="s">
        <v>24</v>
      </c>
      <c r="H591">
        <v>59</v>
      </c>
      <c r="I591" s="1">
        <v>40170</v>
      </c>
      <c r="J591" s="2">
        <v>78006</v>
      </c>
      <c r="K591" s="3">
        <v>0</v>
      </c>
      <c r="L591" t="s">
        <v>19</v>
      </c>
      <c r="M591" t="s">
        <v>45</v>
      </c>
      <c r="N591" s="1" t="s">
        <v>21</v>
      </c>
      <c r="O591" s="1" t="str">
        <f>IF(OR(TBL_Employees[[#This Row],[Exit Date]],FALSE),"Left employees", "Current employees")</f>
        <v>Current employees</v>
      </c>
    </row>
    <row r="592" spans="1:15" x14ac:dyDescent="0.35">
      <c r="A592" t="s">
        <v>1342</v>
      </c>
      <c r="B592" t="s">
        <v>1343</v>
      </c>
      <c r="C592" t="s">
        <v>40</v>
      </c>
      <c r="D592" t="s">
        <v>27</v>
      </c>
      <c r="E592" t="s">
        <v>36</v>
      </c>
      <c r="F592" t="s">
        <v>17</v>
      </c>
      <c r="G592" t="s">
        <v>51</v>
      </c>
      <c r="H592">
        <v>28</v>
      </c>
      <c r="I592" s="1">
        <v>44221</v>
      </c>
      <c r="J592" s="2">
        <v>160385</v>
      </c>
      <c r="K592" s="3">
        <v>0.23</v>
      </c>
      <c r="L592" t="s">
        <v>19</v>
      </c>
      <c r="M592" t="s">
        <v>45</v>
      </c>
      <c r="N592" s="1">
        <v>44334</v>
      </c>
      <c r="O592" s="1" t="str">
        <f>IF(OR(TBL_Employees[[#This Row],[Exit Date]],FALSE),"Left employees", "Current employees")</f>
        <v>Left employees</v>
      </c>
    </row>
    <row r="593" spans="1:15" x14ac:dyDescent="0.35">
      <c r="A593" t="s">
        <v>1344</v>
      </c>
      <c r="B593" t="s">
        <v>1345</v>
      </c>
      <c r="C593" t="s">
        <v>14</v>
      </c>
      <c r="D593" t="s">
        <v>15</v>
      </c>
      <c r="E593" t="s">
        <v>32</v>
      </c>
      <c r="F593" t="s">
        <v>17</v>
      </c>
      <c r="G593" t="s">
        <v>18</v>
      </c>
      <c r="H593">
        <v>36</v>
      </c>
      <c r="I593" s="1">
        <v>41650</v>
      </c>
      <c r="J593" s="2">
        <v>202323</v>
      </c>
      <c r="K593" s="3">
        <v>0.39</v>
      </c>
      <c r="L593" t="s">
        <v>19</v>
      </c>
      <c r="M593" t="s">
        <v>20</v>
      </c>
      <c r="N593" s="1" t="s">
        <v>21</v>
      </c>
      <c r="O593" s="1" t="str">
        <f>IF(OR(TBL_Employees[[#This Row],[Exit Date]],FALSE),"Left employees", "Current employees")</f>
        <v>Current employees</v>
      </c>
    </row>
    <row r="594" spans="1:15" x14ac:dyDescent="0.35">
      <c r="A594" t="s">
        <v>1346</v>
      </c>
      <c r="B594" t="s">
        <v>1347</v>
      </c>
      <c r="C594" t="s">
        <v>61</v>
      </c>
      <c r="D594" t="s">
        <v>23</v>
      </c>
      <c r="E594" t="s">
        <v>32</v>
      </c>
      <c r="F594" t="s">
        <v>17</v>
      </c>
      <c r="G594" t="s">
        <v>51</v>
      </c>
      <c r="H594">
        <v>29</v>
      </c>
      <c r="I594" s="1">
        <v>44025</v>
      </c>
      <c r="J594" s="2">
        <v>141555</v>
      </c>
      <c r="K594" s="3">
        <v>0.11</v>
      </c>
      <c r="L594" t="s">
        <v>52</v>
      </c>
      <c r="M594" t="s">
        <v>81</v>
      </c>
      <c r="N594" s="1" t="s">
        <v>21</v>
      </c>
      <c r="O594" s="1" t="str">
        <f>IF(OR(TBL_Employees[[#This Row],[Exit Date]],FALSE),"Left employees", "Current employees")</f>
        <v>Current employees</v>
      </c>
    </row>
    <row r="595" spans="1:15" x14ac:dyDescent="0.35">
      <c r="A595" t="s">
        <v>1348</v>
      </c>
      <c r="B595" t="s">
        <v>1349</v>
      </c>
      <c r="C595" t="s">
        <v>40</v>
      </c>
      <c r="D595" t="s">
        <v>15</v>
      </c>
      <c r="E595" t="s">
        <v>44</v>
      </c>
      <c r="F595" t="s">
        <v>17</v>
      </c>
      <c r="G595" t="s">
        <v>24</v>
      </c>
      <c r="H595">
        <v>34</v>
      </c>
      <c r="I595" s="1">
        <v>44032</v>
      </c>
      <c r="J595" s="2">
        <v>184960</v>
      </c>
      <c r="K595" s="3">
        <v>0.18</v>
      </c>
      <c r="L595" t="s">
        <v>19</v>
      </c>
      <c r="M595" t="s">
        <v>63</v>
      </c>
      <c r="N595" s="1" t="s">
        <v>21</v>
      </c>
      <c r="O595" s="1" t="str">
        <f>IF(OR(TBL_Employees[[#This Row],[Exit Date]],FALSE),"Left employees", "Current employees")</f>
        <v>Current employees</v>
      </c>
    </row>
    <row r="596" spans="1:15" x14ac:dyDescent="0.35">
      <c r="A596" t="s">
        <v>1350</v>
      </c>
      <c r="B596" t="s">
        <v>1351</v>
      </c>
      <c r="C596" t="s">
        <v>14</v>
      </c>
      <c r="D596" t="s">
        <v>27</v>
      </c>
      <c r="E596" t="s">
        <v>36</v>
      </c>
      <c r="F596" t="s">
        <v>28</v>
      </c>
      <c r="G596" t="s">
        <v>24</v>
      </c>
      <c r="H596">
        <v>37</v>
      </c>
      <c r="I596" s="1">
        <v>40719</v>
      </c>
      <c r="J596" s="2">
        <v>221592</v>
      </c>
      <c r="K596" s="3">
        <v>0.31</v>
      </c>
      <c r="L596" t="s">
        <v>19</v>
      </c>
      <c r="M596" t="s">
        <v>29</v>
      </c>
      <c r="N596" s="1" t="s">
        <v>21</v>
      </c>
      <c r="O596" s="1" t="str">
        <f>IF(OR(TBL_Employees[[#This Row],[Exit Date]],FALSE),"Left employees", "Current employees")</f>
        <v>Current employees</v>
      </c>
    </row>
    <row r="597" spans="1:15" x14ac:dyDescent="0.35">
      <c r="A597" t="s">
        <v>1352</v>
      </c>
      <c r="B597" t="s">
        <v>1353</v>
      </c>
      <c r="C597" t="s">
        <v>22</v>
      </c>
      <c r="D597" t="s">
        <v>23</v>
      </c>
      <c r="E597" t="s">
        <v>36</v>
      </c>
      <c r="F597" t="s">
        <v>17</v>
      </c>
      <c r="G597" t="s">
        <v>24</v>
      </c>
      <c r="H597">
        <v>44</v>
      </c>
      <c r="I597" s="1">
        <v>39841</v>
      </c>
      <c r="J597" s="2">
        <v>53301</v>
      </c>
      <c r="K597" s="3">
        <v>0</v>
      </c>
      <c r="L597" t="s">
        <v>19</v>
      </c>
      <c r="M597" t="s">
        <v>63</v>
      </c>
      <c r="N597" s="1" t="s">
        <v>21</v>
      </c>
      <c r="O597" s="1" t="str">
        <f>IF(OR(TBL_Employees[[#This Row],[Exit Date]],FALSE),"Left employees", "Current employees")</f>
        <v>Current employees</v>
      </c>
    </row>
    <row r="598" spans="1:15" x14ac:dyDescent="0.35">
      <c r="A598" t="s">
        <v>1354</v>
      </c>
      <c r="B598" t="s">
        <v>1355</v>
      </c>
      <c r="C598" t="s">
        <v>38</v>
      </c>
      <c r="D598" t="s">
        <v>27</v>
      </c>
      <c r="E598" t="s">
        <v>32</v>
      </c>
      <c r="F598" t="s">
        <v>28</v>
      </c>
      <c r="G598" t="s">
        <v>24</v>
      </c>
      <c r="H598">
        <v>45</v>
      </c>
      <c r="I598" s="1">
        <v>36587</v>
      </c>
      <c r="J598" s="2">
        <v>91276</v>
      </c>
      <c r="K598" s="3">
        <v>0</v>
      </c>
      <c r="L598" t="s">
        <v>19</v>
      </c>
      <c r="M598" t="s">
        <v>63</v>
      </c>
      <c r="N598" s="1" t="s">
        <v>21</v>
      </c>
      <c r="O598" s="1" t="str">
        <f>IF(OR(TBL_Employees[[#This Row],[Exit Date]],FALSE),"Left employees", "Current employees")</f>
        <v>Current employees</v>
      </c>
    </row>
    <row r="599" spans="1:15" x14ac:dyDescent="0.35">
      <c r="A599" t="s">
        <v>1356</v>
      </c>
      <c r="B599" t="s">
        <v>1357</v>
      </c>
      <c r="C599" t="s">
        <v>61</v>
      </c>
      <c r="D599" t="s">
        <v>23</v>
      </c>
      <c r="E599" t="s">
        <v>16</v>
      </c>
      <c r="F599" t="s">
        <v>17</v>
      </c>
      <c r="G599" t="s">
        <v>24</v>
      </c>
      <c r="H599">
        <v>52</v>
      </c>
      <c r="I599" s="1">
        <v>42983</v>
      </c>
      <c r="J599" s="2">
        <v>140042</v>
      </c>
      <c r="K599" s="3">
        <v>0.13</v>
      </c>
      <c r="L599" t="s">
        <v>19</v>
      </c>
      <c r="M599" t="s">
        <v>25</v>
      </c>
      <c r="N599" s="1" t="s">
        <v>21</v>
      </c>
      <c r="O599" s="1" t="str">
        <f>IF(OR(TBL_Employees[[#This Row],[Exit Date]],FALSE),"Left employees", "Current employees")</f>
        <v>Current employees</v>
      </c>
    </row>
    <row r="600" spans="1:15" x14ac:dyDescent="0.35">
      <c r="A600" t="s">
        <v>186</v>
      </c>
      <c r="B600" t="s">
        <v>1358</v>
      </c>
      <c r="C600" t="s">
        <v>68</v>
      </c>
      <c r="D600" t="s">
        <v>65</v>
      </c>
      <c r="E600" t="s">
        <v>36</v>
      </c>
      <c r="F600" t="s">
        <v>17</v>
      </c>
      <c r="G600" t="s">
        <v>24</v>
      </c>
      <c r="H600">
        <v>40</v>
      </c>
      <c r="I600" s="1">
        <v>43440</v>
      </c>
      <c r="J600" s="2">
        <v>57225</v>
      </c>
      <c r="K600" s="3">
        <v>0</v>
      </c>
      <c r="L600" t="s">
        <v>19</v>
      </c>
      <c r="M600" t="s">
        <v>29</v>
      </c>
      <c r="N600" s="1" t="s">
        <v>21</v>
      </c>
      <c r="O600" s="1" t="str">
        <f>IF(OR(TBL_Employees[[#This Row],[Exit Date]],FALSE),"Left employees", "Current employees")</f>
        <v>Current employees</v>
      </c>
    </row>
    <row r="601" spans="1:15" x14ac:dyDescent="0.35">
      <c r="A601" t="s">
        <v>1359</v>
      </c>
      <c r="B601" t="s">
        <v>1360</v>
      </c>
      <c r="C601" t="s">
        <v>62</v>
      </c>
      <c r="D601" t="s">
        <v>23</v>
      </c>
      <c r="E601" t="s">
        <v>44</v>
      </c>
      <c r="F601" t="s">
        <v>17</v>
      </c>
      <c r="G601" t="s">
        <v>51</v>
      </c>
      <c r="H601">
        <v>55</v>
      </c>
      <c r="I601" s="1">
        <v>40233</v>
      </c>
      <c r="J601" s="2">
        <v>102839</v>
      </c>
      <c r="K601" s="3">
        <v>0.05</v>
      </c>
      <c r="L601" t="s">
        <v>19</v>
      </c>
      <c r="M601" t="s">
        <v>45</v>
      </c>
      <c r="N601" s="1" t="s">
        <v>21</v>
      </c>
      <c r="O601" s="1" t="str">
        <f>IF(OR(TBL_Employees[[#This Row],[Exit Date]],FALSE),"Left employees", "Current employees")</f>
        <v>Current employees</v>
      </c>
    </row>
    <row r="602" spans="1:15" x14ac:dyDescent="0.35">
      <c r="A602" t="s">
        <v>1361</v>
      </c>
      <c r="B602" t="s">
        <v>1362</v>
      </c>
      <c r="C602" t="s">
        <v>40</v>
      </c>
      <c r="D602" t="s">
        <v>43</v>
      </c>
      <c r="E602" t="s">
        <v>16</v>
      </c>
      <c r="F602" t="s">
        <v>28</v>
      </c>
      <c r="G602" t="s">
        <v>24</v>
      </c>
      <c r="H602">
        <v>29</v>
      </c>
      <c r="I602" s="1">
        <v>44454</v>
      </c>
      <c r="J602" s="2">
        <v>199783</v>
      </c>
      <c r="K602" s="3">
        <v>0.21</v>
      </c>
      <c r="L602" t="s">
        <v>19</v>
      </c>
      <c r="M602" t="s">
        <v>20</v>
      </c>
      <c r="N602" s="1">
        <v>44661</v>
      </c>
      <c r="O602" s="1" t="str">
        <f>IF(OR(TBL_Employees[[#This Row],[Exit Date]],FALSE),"Left employees", "Current employees")</f>
        <v>Left employees</v>
      </c>
    </row>
    <row r="603" spans="1:15" x14ac:dyDescent="0.35">
      <c r="A603" t="s">
        <v>1363</v>
      </c>
      <c r="B603" t="s">
        <v>1364</v>
      </c>
      <c r="C603" t="s">
        <v>77</v>
      </c>
      <c r="D603" t="s">
        <v>23</v>
      </c>
      <c r="E603" t="s">
        <v>16</v>
      </c>
      <c r="F603" t="s">
        <v>28</v>
      </c>
      <c r="G603" t="s">
        <v>51</v>
      </c>
      <c r="H603">
        <v>32</v>
      </c>
      <c r="I603" s="1">
        <v>44295</v>
      </c>
      <c r="J603" s="2">
        <v>70980</v>
      </c>
      <c r="K603" s="3">
        <v>0</v>
      </c>
      <c r="L603" t="s">
        <v>52</v>
      </c>
      <c r="M603" t="s">
        <v>66</v>
      </c>
      <c r="N603" s="1" t="s">
        <v>21</v>
      </c>
      <c r="O603" s="1" t="str">
        <f>IF(OR(TBL_Employees[[#This Row],[Exit Date]],FALSE),"Left employees", "Current employees")</f>
        <v>Current employees</v>
      </c>
    </row>
    <row r="604" spans="1:15" x14ac:dyDescent="0.35">
      <c r="A604" t="s">
        <v>1365</v>
      </c>
      <c r="B604" t="s">
        <v>1366</v>
      </c>
      <c r="C604" t="s">
        <v>62</v>
      </c>
      <c r="D604" t="s">
        <v>43</v>
      </c>
      <c r="E604" t="s">
        <v>32</v>
      </c>
      <c r="F604" t="s">
        <v>28</v>
      </c>
      <c r="G604" t="s">
        <v>18</v>
      </c>
      <c r="H604">
        <v>51</v>
      </c>
      <c r="I604" s="1">
        <v>35456</v>
      </c>
      <c r="J604" s="2">
        <v>104431</v>
      </c>
      <c r="K604" s="3">
        <v>7.0000000000000007E-2</v>
      </c>
      <c r="L604" t="s">
        <v>19</v>
      </c>
      <c r="M604" t="s">
        <v>39</v>
      </c>
      <c r="N604" s="1" t="s">
        <v>21</v>
      </c>
      <c r="O604" s="1" t="str">
        <f>IF(OR(TBL_Employees[[#This Row],[Exit Date]],FALSE),"Left employees", "Current employees")</f>
        <v>Current employees</v>
      </c>
    </row>
    <row r="605" spans="1:15" x14ac:dyDescent="0.35">
      <c r="A605" t="s">
        <v>1367</v>
      </c>
      <c r="B605" t="s">
        <v>225</v>
      </c>
      <c r="C605" t="s">
        <v>83</v>
      </c>
      <c r="D605" t="s">
        <v>23</v>
      </c>
      <c r="E605" t="s">
        <v>44</v>
      </c>
      <c r="F605" t="s">
        <v>28</v>
      </c>
      <c r="G605" t="s">
        <v>18</v>
      </c>
      <c r="H605">
        <v>28</v>
      </c>
      <c r="I605" s="1">
        <v>44374</v>
      </c>
      <c r="J605" s="2">
        <v>48510</v>
      </c>
      <c r="K605" s="3">
        <v>0</v>
      </c>
      <c r="L605" t="s">
        <v>19</v>
      </c>
      <c r="M605" t="s">
        <v>20</v>
      </c>
      <c r="N605" s="1" t="s">
        <v>21</v>
      </c>
      <c r="O605" s="1" t="str">
        <f>IF(OR(TBL_Employees[[#This Row],[Exit Date]],FALSE),"Left employees", "Current employees")</f>
        <v>Current employees</v>
      </c>
    </row>
    <row r="606" spans="1:15" x14ac:dyDescent="0.35">
      <c r="A606" t="s">
        <v>1368</v>
      </c>
      <c r="B606" t="s">
        <v>1369</v>
      </c>
      <c r="C606" t="s">
        <v>30</v>
      </c>
      <c r="D606" t="s">
        <v>31</v>
      </c>
      <c r="E606" t="s">
        <v>44</v>
      </c>
      <c r="F606" t="s">
        <v>28</v>
      </c>
      <c r="G606" t="s">
        <v>47</v>
      </c>
      <c r="H606">
        <v>27</v>
      </c>
      <c r="I606" s="1">
        <v>43613</v>
      </c>
      <c r="J606" s="2">
        <v>70110</v>
      </c>
      <c r="K606" s="3">
        <v>0</v>
      </c>
      <c r="L606" t="s">
        <v>19</v>
      </c>
      <c r="M606" t="s">
        <v>45</v>
      </c>
      <c r="N606" s="1">
        <v>44203</v>
      </c>
      <c r="O606" s="1" t="str">
        <f>IF(OR(TBL_Employees[[#This Row],[Exit Date]],FALSE),"Left employees", "Current employees")</f>
        <v>Left employees</v>
      </c>
    </row>
    <row r="607" spans="1:15" x14ac:dyDescent="0.35">
      <c r="A607" t="s">
        <v>352</v>
      </c>
      <c r="B607" t="s">
        <v>1370</v>
      </c>
      <c r="C607" t="s">
        <v>40</v>
      </c>
      <c r="D607" t="s">
        <v>43</v>
      </c>
      <c r="E607" t="s">
        <v>32</v>
      </c>
      <c r="F607" t="s">
        <v>28</v>
      </c>
      <c r="G607" t="s">
        <v>24</v>
      </c>
      <c r="H607">
        <v>45</v>
      </c>
      <c r="I607" s="1">
        <v>39519</v>
      </c>
      <c r="J607" s="2">
        <v>186138</v>
      </c>
      <c r="K607" s="3">
        <v>0.28000000000000003</v>
      </c>
      <c r="L607" t="s">
        <v>33</v>
      </c>
      <c r="M607" t="s">
        <v>80</v>
      </c>
      <c r="N607" s="1" t="s">
        <v>21</v>
      </c>
      <c r="O607" s="1" t="str">
        <f>IF(OR(TBL_Employees[[#This Row],[Exit Date]],FALSE),"Left employees", "Current employees")</f>
        <v>Current employees</v>
      </c>
    </row>
    <row r="608" spans="1:15" x14ac:dyDescent="0.35">
      <c r="A608" t="s">
        <v>1371</v>
      </c>
      <c r="B608" t="s">
        <v>1372</v>
      </c>
      <c r="C608" t="s">
        <v>68</v>
      </c>
      <c r="D608" t="s">
        <v>65</v>
      </c>
      <c r="E608" t="s">
        <v>36</v>
      </c>
      <c r="F608" t="s">
        <v>28</v>
      </c>
      <c r="G608" t="s">
        <v>51</v>
      </c>
      <c r="H608">
        <v>58</v>
      </c>
      <c r="I608" s="1">
        <v>40287</v>
      </c>
      <c r="J608" s="2">
        <v>56350</v>
      </c>
      <c r="K608" s="3">
        <v>0</v>
      </c>
      <c r="L608" t="s">
        <v>52</v>
      </c>
      <c r="M608" t="s">
        <v>66</v>
      </c>
      <c r="N608" s="1" t="s">
        <v>21</v>
      </c>
      <c r="O608" s="1" t="str">
        <f>IF(OR(TBL_Employees[[#This Row],[Exit Date]],FALSE),"Left employees", "Current employees")</f>
        <v>Current employees</v>
      </c>
    </row>
    <row r="609" spans="1:15" x14ac:dyDescent="0.35">
      <c r="A609" t="s">
        <v>635</v>
      </c>
      <c r="B609" t="s">
        <v>1373</v>
      </c>
      <c r="C609" t="s">
        <v>61</v>
      </c>
      <c r="D609" t="s">
        <v>15</v>
      </c>
      <c r="E609" t="s">
        <v>16</v>
      </c>
      <c r="F609" t="s">
        <v>17</v>
      </c>
      <c r="G609" t="s">
        <v>51</v>
      </c>
      <c r="H609">
        <v>45</v>
      </c>
      <c r="I609" s="1">
        <v>42379</v>
      </c>
      <c r="J609" s="2">
        <v>149761</v>
      </c>
      <c r="K609" s="3">
        <v>0.12</v>
      </c>
      <c r="L609" t="s">
        <v>19</v>
      </c>
      <c r="M609" t="s">
        <v>29</v>
      </c>
      <c r="N609" s="1" t="s">
        <v>21</v>
      </c>
      <c r="O609" s="1" t="str">
        <f>IF(OR(TBL_Employees[[#This Row],[Exit Date]],FALSE),"Left employees", "Current employees")</f>
        <v>Current employees</v>
      </c>
    </row>
    <row r="610" spans="1:15" x14ac:dyDescent="0.35">
      <c r="A610" t="s">
        <v>1374</v>
      </c>
      <c r="B610" t="s">
        <v>1375</v>
      </c>
      <c r="C610" t="s">
        <v>61</v>
      </c>
      <c r="D610" t="s">
        <v>15</v>
      </c>
      <c r="E610" t="s">
        <v>32</v>
      </c>
      <c r="F610" t="s">
        <v>28</v>
      </c>
      <c r="G610" t="s">
        <v>51</v>
      </c>
      <c r="H610">
        <v>44</v>
      </c>
      <c r="I610" s="1">
        <v>39305</v>
      </c>
      <c r="J610" s="2">
        <v>126277</v>
      </c>
      <c r="K610" s="3">
        <v>0.13</v>
      </c>
      <c r="L610" t="s">
        <v>52</v>
      </c>
      <c r="M610" t="s">
        <v>81</v>
      </c>
      <c r="N610" s="1" t="s">
        <v>21</v>
      </c>
      <c r="O610" s="1" t="str">
        <f>IF(OR(TBL_Employees[[#This Row],[Exit Date]],FALSE),"Left employees", "Current employees")</f>
        <v>Current employees</v>
      </c>
    </row>
    <row r="611" spans="1:15" x14ac:dyDescent="0.35">
      <c r="A611" t="s">
        <v>1376</v>
      </c>
      <c r="B611" t="s">
        <v>1377</v>
      </c>
      <c r="C611" t="s">
        <v>62</v>
      </c>
      <c r="D611" t="s">
        <v>50</v>
      </c>
      <c r="E611" t="s">
        <v>44</v>
      </c>
      <c r="F611" t="s">
        <v>28</v>
      </c>
      <c r="G611" t="s">
        <v>18</v>
      </c>
      <c r="H611">
        <v>33</v>
      </c>
      <c r="I611" s="1">
        <v>41446</v>
      </c>
      <c r="J611" s="2">
        <v>119631</v>
      </c>
      <c r="K611" s="3">
        <v>0.06</v>
      </c>
      <c r="L611" t="s">
        <v>19</v>
      </c>
      <c r="M611" t="s">
        <v>39</v>
      </c>
      <c r="N611" s="1" t="s">
        <v>21</v>
      </c>
      <c r="O611" s="1" t="str">
        <f>IF(OR(TBL_Employees[[#This Row],[Exit Date]],FALSE),"Left employees", "Current employees")</f>
        <v>Current employees</v>
      </c>
    </row>
    <row r="612" spans="1:15" x14ac:dyDescent="0.35">
      <c r="A612" t="s">
        <v>1378</v>
      </c>
      <c r="B612" t="s">
        <v>1379</v>
      </c>
      <c r="C612" t="s">
        <v>14</v>
      </c>
      <c r="D612" t="s">
        <v>27</v>
      </c>
      <c r="E612" t="s">
        <v>16</v>
      </c>
      <c r="F612" t="s">
        <v>28</v>
      </c>
      <c r="G612" t="s">
        <v>24</v>
      </c>
      <c r="H612">
        <v>26</v>
      </c>
      <c r="I612" s="1">
        <v>43960</v>
      </c>
      <c r="J612" s="2">
        <v>256561</v>
      </c>
      <c r="K612" s="3">
        <v>0.39</v>
      </c>
      <c r="L612" t="s">
        <v>19</v>
      </c>
      <c r="M612" t="s">
        <v>25</v>
      </c>
      <c r="N612" s="1" t="s">
        <v>21</v>
      </c>
      <c r="O612" s="1" t="str">
        <f>IF(OR(TBL_Employees[[#This Row],[Exit Date]],FALSE),"Left employees", "Current employees")</f>
        <v>Current employees</v>
      </c>
    </row>
    <row r="613" spans="1:15" x14ac:dyDescent="0.35">
      <c r="A613" t="s">
        <v>284</v>
      </c>
      <c r="B613" t="s">
        <v>1380</v>
      </c>
      <c r="C613" t="s">
        <v>88</v>
      </c>
      <c r="D613" t="s">
        <v>27</v>
      </c>
      <c r="E613" t="s">
        <v>44</v>
      </c>
      <c r="F613" t="s">
        <v>17</v>
      </c>
      <c r="G613" t="s">
        <v>51</v>
      </c>
      <c r="H613">
        <v>45</v>
      </c>
      <c r="I613" s="1">
        <v>43937</v>
      </c>
      <c r="J613" s="2">
        <v>66958</v>
      </c>
      <c r="K613" s="3">
        <v>0</v>
      </c>
      <c r="L613" t="s">
        <v>19</v>
      </c>
      <c r="M613" t="s">
        <v>45</v>
      </c>
      <c r="N613" s="1" t="s">
        <v>21</v>
      </c>
      <c r="O613" s="1" t="str">
        <f>IF(OR(TBL_Employees[[#This Row],[Exit Date]],FALSE),"Left employees", "Current employees")</f>
        <v>Current employees</v>
      </c>
    </row>
    <row r="614" spans="1:15" x14ac:dyDescent="0.35">
      <c r="A614" t="s">
        <v>46</v>
      </c>
      <c r="B614" t="s">
        <v>1381</v>
      </c>
      <c r="C614" t="s">
        <v>61</v>
      </c>
      <c r="D614" t="s">
        <v>50</v>
      </c>
      <c r="E614" t="s">
        <v>36</v>
      </c>
      <c r="F614" t="s">
        <v>17</v>
      </c>
      <c r="G614" t="s">
        <v>24</v>
      </c>
      <c r="H614">
        <v>46</v>
      </c>
      <c r="I614" s="1">
        <v>38046</v>
      </c>
      <c r="J614" s="2">
        <v>158897</v>
      </c>
      <c r="K614" s="3">
        <v>0.1</v>
      </c>
      <c r="L614" t="s">
        <v>33</v>
      </c>
      <c r="M614" t="s">
        <v>80</v>
      </c>
      <c r="N614" s="1" t="s">
        <v>21</v>
      </c>
      <c r="O614" s="1" t="str">
        <f>IF(OR(TBL_Employees[[#This Row],[Exit Date]],FALSE),"Left employees", "Current employees")</f>
        <v>Current employees</v>
      </c>
    </row>
    <row r="615" spans="1:15" x14ac:dyDescent="0.35">
      <c r="A615" t="s">
        <v>512</v>
      </c>
      <c r="B615" t="s">
        <v>1382</v>
      </c>
      <c r="C615" t="s">
        <v>55</v>
      </c>
      <c r="D615" t="s">
        <v>27</v>
      </c>
      <c r="E615" t="s">
        <v>32</v>
      </c>
      <c r="F615" t="s">
        <v>28</v>
      </c>
      <c r="G615" t="s">
        <v>18</v>
      </c>
      <c r="H615">
        <v>37</v>
      </c>
      <c r="I615" s="1">
        <v>39493</v>
      </c>
      <c r="J615" s="2">
        <v>71695</v>
      </c>
      <c r="K615" s="3">
        <v>0</v>
      </c>
      <c r="L615" t="s">
        <v>19</v>
      </c>
      <c r="M615" t="s">
        <v>39</v>
      </c>
      <c r="N615" s="1" t="s">
        <v>21</v>
      </c>
      <c r="O615" s="1" t="str">
        <f>IF(OR(TBL_Employees[[#This Row],[Exit Date]],FALSE),"Left employees", "Current employees")</f>
        <v>Current employees</v>
      </c>
    </row>
    <row r="616" spans="1:15" x14ac:dyDescent="0.35">
      <c r="A616" t="s">
        <v>1383</v>
      </c>
      <c r="B616" t="s">
        <v>1384</v>
      </c>
      <c r="C616" t="s">
        <v>42</v>
      </c>
      <c r="D616" t="s">
        <v>43</v>
      </c>
      <c r="E616" t="s">
        <v>32</v>
      </c>
      <c r="F616" t="s">
        <v>28</v>
      </c>
      <c r="G616" t="s">
        <v>24</v>
      </c>
      <c r="H616">
        <v>40</v>
      </c>
      <c r="I616" s="1">
        <v>41904</v>
      </c>
      <c r="J616" s="2">
        <v>73779</v>
      </c>
      <c r="K616" s="3">
        <v>0</v>
      </c>
      <c r="L616" t="s">
        <v>33</v>
      </c>
      <c r="M616" t="s">
        <v>80</v>
      </c>
      <c r="N616" s="1">
        <v>43594</v>
      </c>
      <c r="O616" s="1" t="str">
        <f>IF(OR(TBL_Employees[[#This Row],[Exit Date]],FALSE),"Left employees", "Current employees")</f>
        <v>Left employees</v>
      </c>
    </row>
    <row r="617" spans="1:15" x14ac:dyDescent="0.35">
      <c r="A617" t="s">
        <v>1385</v>
      </c>
      <c r="B617" t="s">
        <v>1386</v>
      </c>
      <c r="C617" t="s">
        <v>62</v>
      </c>
      <c r="D617" t="s">
        <v>50</v>
      </c>
      <c r="E617" t="s">
        <v>44</v>
      </c>
      <c r="F617" t="s">
        <v>17</v>
      </c>
      <c r="G617" t="s">
        <v>24</v>
      </c>
      <c r="H617">
        <v>45</v>
      </c>
      <c r="I617" s="1">
        <v>40836</v>
      </c>
      <c r="J617" s="2">
        <v>123640</v>
      </c>
      <c r="K617" s="3">
        <v>7.0000000000000007E-2</v>
      </c>
      <c r="L617" t="s">
        <v>33</v>
      </c>
      <c r="M617" t="s">
        <v>74</v>
      </c>
      <c r="N617" s="1" t="s">
        <v>21</v>
      </c>
      <c r="O617" s="1" t="str">
        <f>IF(OR(TBL_Employees[[#This Row],[Exit Date]],FALSE),"Left employees", "Current employees")</f>
        <v>Current employees</v>
      </c>
    </row>
    <row r="618" spans="1:15" x14ac:dyDescent="0.35">
      <c r="A618" t="s">
        <v>1318</v>
      </c>
      <c r="B618" t="s">
        <v>1387</v>
      </c>
      <c r="C618" t="s">
        <v>68</v>
      </c>
      <c r="D618" t="s">
        <v>50</v>
      </c>
      <c r="E618" t="s">
        <v>44</v>
      </c>
      <c r="F618" t="s">
        <v>17</v>
      </c>
      <c r="G618" t="s">
        <v>18</v>
      </c>
      <c r="H618">
        <v>33</v>
      </c>
      <c r="I618" s="1">
        <v>41742</v>
      </c>
      <c r="J618" s="2">
        <v>46878</v>
      </c>
      <c r="K618" s="3">
        <v>0</v>
      </c>
      <c r="L618" t="s">
        <v>19</v>
      </c>
      <c r="M618" t="s">
        <v>45</v>
      </c>
      <c r="N618" s="1" t="s">
        <v>21</v>
      </c>
      <c r="O618" s="1" t="str">
        <f>IF(OR(TBL_Employees[[#This Row],[Exit Date]],FALSE),"Left employees", "Current employees")</f>
        <v>Current employees</v>
      </c>
    </row>
    <row r="619" spans="1:15" x14ac:dyDescent="0.35">
      <c r="A619" t="s">
        <v>1388</v>
      </c>
      <c r="B619" t="s">
        <v>193</v>
      </c>
      <c r="C619" t="s">
        <v>68</v>
      </c>
      <c r="D619" t="s">
        <v>43</v>
      </c>
      <c r="E619" t="s">
        <v>44</v>
      </c>
      <c r="F619" t="s">
        <v>17</v>
      </c>
      <c r="G619" t="s">
        <v>18</v>
      </c>
      <c r="H619">
        <v>64</v>
      </c>
      <c r="I619" s="1">
        <v>37662</v>
      </c>
      <c r="J619" s="2">
        <v>57032</v>
      </c>
      <c r="K619" s="3">
        <v>0</v>
      </c>
      <c r="L619" t="s">
        <v>19</v>
      </c>
      <c r="M619" t="s">
        <v>45</v>
      </c>
      <c r="N619" s="1" t="s">
        <v>21</v>
      </c>
      <c r="O619" s="1" t="str">
        <f>IF(OR(TBL_Employees[[#This Row],[Exit Date]],FALSE),"Left employees", "Current employees")</f>
        <v>Current employees</v>
      </c>
    </row>
    <row r="620" spans="1:15" x14ac:dyDescent="0.35">
      <c r="A620" t="s">
        <v>1389</v>
      </c>
      <c r="B620" t="s">
        <v>1390</v>
      </c>
      <c r="C620" t="s">
        <v>42</v>
      </c>
      <c r="D620" t="s">
        <v>50</v>
      </c>
      <c r="E620" t="s">
        <v>36</v>
      </c>
      <c r="F620" t="s">
        <v>17</v>
      </c>
      <c r="G620" t="s">
        <v>51</v>
      </c>
      <c r="H620">
        <v>57</v>
      </c>
      <c r="I620" s="1">
        <v>39357</v>
      </c>
      <c r="J620" s="2">
        <v>98150</v>
      </c>
      <c r="K620" s="3">
        <v>0</v>
      </c>
      <c r="L620" t="s">
        <v>52</v>
      </c>
      <c r="M620" t="s">
        <v>66</v>
      </c>
      <c r="N620" s="1" t="s">
        <v>21</v>
      </c>
      <c r="O620" s="1" t="str">
        <f>IF(OR(TBL_Employees[[#This Row],[Exit Date]],FALSE),"Left employees", "Current employees")</f>
        <v>Current employees</v>
      </c>
    </row>
    <row r="621" spans="1:15" x14ac:dyDescent="0.35">
      <c r="A621" t="s">
        <v>178</v>
      </c>
      <c r="B621" t="s">
        <v>1391</v>
      </c>
      <c r="C621" t="s">
        <v>40</v>
      </c>
      <c r="D621" t="s">
        <v>43</v>
      </c>
      <c r="E621" t="s">
        <v>36</v>
      </c>
      <c r="F621" t="s">
        <v>17</v>
      </c>
      <c r="G621" t="s">
        <v>24</v>
      </c>
      <c r="H621">
        <v>35</v>
      </c>
      <c r="I621" s="1">
        <v>42800</v>
      </c>
      <c r="J621" s="2">
        <v>171426</v>
      </c>
      <c r="K621" s="3">
        <v>0.15</v>
      </c>
      <c r="L621" t="s">
        <v>33</v>
      </c>
      <c r="M621" t="s">
        <v>60</v>
      </c>
      <c r="N621" s="1">
        <v>43000</v>
      </c>
      <c r="O621" s="1" t="str">
        <f>IF(OR(TBL_Employees[[#This Row],[Exit Date]],FALSE),"Left employees", "Current employees")</f>
        <v>Left employees</v>
      </c>
    </row>
    <row r="622" spans="1:15" x14ac:dyDescent="0.35">
      <c r="A622" t="s">
        <v>362</v>
      </c>
      <c r="B622" t="s">
        <v>1392</v>
      </c>
      <c r="C622" t="s">
        <v>68</v>
      </c>
      <c r="D622" t="s">
        <v>15</v>
      </c>
      <c r="E622" t="s">
        <v>36</v>
      </c>
      <c r="F622" t="s">
        <v>17</v>
      </c>
      <c r="G622" t="s">
        <v>18</v>
      </c>
      <c r="H622">
        <v>55</v>
      </c>
      <c r="I622" s="1">
        <v>44302</v>
      </c>
      <c r="J622" s="2">
        <v>48266</v>
      </c>
      <c r="K622" s="3">
        <v>0</v>
      </c>
      <c r="L622" t="s">
        <v>19</v>
      </c>
      <c r="M622" t="s">
        <v>20</v>
      </c>
      <c r="N622" s="1" t="s">
        <v>21</v>
      </c>
      <c r="O622" s="1" t="str">
        <f>IF(OR(TBL_Employees[[#This Row],[Exit Date]],FALSE),"Left employees", "Current employees")</f>
        <v>Current employees</v>
      </c>
    </row>
    <row r="623" spans="1:15" x14ac:dyDescent="0.35">
      <c r="A623" t="s">
        <v>1393</v>
      </c>
      <c r="B623" t="s">
        <v>1394</v>
      </c>
      <c r="C623" t="s">
        <v>14</v>
      </c>
      <c r="D623" t="s">
        <v>15</v>
      </c>
      <c r="E623" t="s">
        <v>16</v>
      </c>
      <c r="F623" t="s">
        <v>28</v>
      </c>
      <c r="G623" t="s">
        <v>51</v>
      </c>
      <c r="H623">
        <v>36</v>
      </c>
      <c r="I623" s="1">
        <v>43330</v>
      </c>
      <c r="J623" s="2">
        <v>223404</v>
      </c>
      <c r="K623" s="3">
        <v>0.32</v>
      </c>
      <c r="L623" t="s">
        <v>19</v>
      </c>
      <c r="M623" t="s">
        <v>29</v>
      </c>
      <c r="N623" s="1" t="s">
        <v>21</v>
      </c>
      <c r="O623" s="1" t="str">
        <f>IF(OR(TBL_Employees[[#This Row],[Exit Date]],FALSE),"Left employees", "Current employees")</f>
        <v>Current employees</v>
      </c>
    </row>
    <row r="624" spans="1:15" x14ac:dyDescent="0.35">
      <c r="A624" t="s">
        <v>1395</v>
      </c>
      <c r="B624" t="s">
        <v>1396</v>
      </c>
      <c r="C624" t="s">
        <v>98</v>
      </c>
      <c r="D624" t="s">
        <v>27</v>
      </c>
      <c r="E624" t="s">
        <v>44</v>
      </c>
      <c r="F624" t="s">
        <v>17</v>
      </c>
      <c r="G624" t="s">
        <v>24</v>
      </c>
      <c r="H624">
        <v>57</v>
      </c>
      <c r="I624" s="1">
        <v>41649</v>
      </c>
      <c r="J624" s="2">
        <v>74854</v>
      </c>
      <c r="K624" s="3">
        <v>0</v>
      </c>
      <c r="L624" t="s">
        <v>19</v>
      </c>
      <c r="M624" t="s">
        <v>63</v>
      </c>
      <c r="N624" s="1" t="s">
        <v>21</v>
      </c>
      <c r="O624" s="1" t="str">
        <f>IF(OR(TBL_Employees[[#This Row],[Exit Date]],FALSE),"Left employees", "Current employees")</f>
        <v>Current employees</v>
      </c>
    </row>
    <row r="625" spans="1:15" x14ac:dyDescent="0.35">
      <c r="A625" t="s">
        <v>218</v>
      </c>
      <c r="B625" t="s">
        <v>1397</v>
      </c>
      <c r="C625" t="s">
        <v>14</v>
      </c>
      <c r="D625" t="s">
        <v>65</v>
      </c>
      <c r="E625" t="s">
        <v>44</v>
      </c>
      <c r="F625" t="s">
        <v>17</v>
      </c>
      <c r="G625" t="s">
        <v>18</v>
      </c>
      <c r="H625">
        <v>48</v>
      </c>
      <c r="I625" s="1">
        <v>39197</v>
      </c>
      <c r="J625" s="2">
        <v>217783</v>
      </c>
      <c r="K625" s="3">
        <v>0.36</v>
      </c>
      <c r="L625" t="s">
        <v>19</v>
      </c>
      <c r="M625" t="s">
        <v>63</v>
      </c>
      <c r="N625" s="1" t="s">
        <v>21</v>
      </c>
      <c r="O625" s="1" t="str">
        <f>IF(OR(TBL_Employees[[#This Row],[Exit Date]],FALSE),"Left employees", "Current employees")</f>
        <v>Current employees</v>
      </c>
    </row>
    <row r="626" spans="1:15" x14ac:dyDescent="0.35">
      <c r="A626" t="s">
        <v>1398</v>
      </c>
      <c r="B626" t="s">
        <v>1399</v>
      </c>
      <c r="C626" t="s">
        <v>76</v>
      </c>
      <c r="D626" t="s">
        <v>27</v>
      </c>
      <c r="E626" t="s">
        <v>36</v>
      </c>
      <c r="F626" t="s">
        <v>17</v>
      </c>
      <c r="G626" t="s">
        <v>51</v>
      </c>
      <c r="H626">
        <v>53</v>
      </c>
      <c r="I626" s="1">
        <v>38214</v>
      </c>
      <c r="J626" s="2">
        <v>44735</v>
      </c>
      <c r="K626" s="3">
        <v>0</v>
      </c>
      <c r="L626" t="s">
        <v>52</v>
      </c>
      <c r="M626" t="s">
        <v>81</v>
      </c>
      <c r="N626" s="1" t="s">
        <v>21</v>
      </c>
      <c r="O626" s="1" t="str">
        <f>IF(OR(TBL_Employees[[#This Row],[Exit Date]],FALSE),"Left employees", "Current employees")</f>
        <v>Current employees</v>
      </c>
    </row>
    <row r="627" spans="1:15" x14ac:dyDescent="0.35">
      <c r="A627" t="s">
        <v>357</v>
      </c>
      <c r="B627" t="s">
        <v>1400</v>
      </c>
      <c r="C627" t="s">
        <v>64</v>
      </c>
      <c r="D627" t="s">
        <v>15</v>
      </c>
      <c r="E627" t="s">
        <v>36</v>
      </c>
      <c r="F627" t="s">
        <v>17</v>
      </c>
      <c r="G627" t="s">
        <v>18</v>
      </c>
      <c r="H627">
        <v>41</v>
      </c>
      <c r="I627" s="1">
        <v>39091</v>
      </c>
      <c r="J627" s="2">
        <v>50685</v>
      </c>
      <c r="K627" s="3">
        <v>0</v>
      </c>
      <c r="L627" t="s">
        <v>19</v>
      </c>
      <c r="M627" t="s">
        <v>29</v>
      </c>
      <c r="N627" s="1" t="s">
        <v>21</v>
      </c>
      <c r="O627" s="1" t="str">
        <f>IF(OR(TBL_Employees[[#This Row],[Exit Date]],FALSE),"Left employees", "Current employees")</f>
        <v>Current employees</v>
      </c>
    </row>
    <row r="628" spans="1:15" x14ac:dyDescent="0.35">
      <c r="A628" t="s">
        <v>1401</v>
      </c>
      <c r="B628" t="s">
        <v>1402</v>
      </c>
      <c r="C628" t="s">
        <v>64</v>
      </c>
      <c r="D628" t="s">
        <v>50</v>
      </c>
      <c r="E628" t="s">
        <v>16</v>
      </c>
      <c r="F628" t="s">
        <v>28</v>
      </c>
      <c r="G628" t="s">
        <v>24</v>
      </c>
      <c r="H628">
        <v>34</v>
      </c>
      <c r="I628" s="1">
        <v>43169</v>
      </c>
      <c r="J628" s="2">
        <v>58993</v>
      </c>
      <c r="K628" s="3">
        <v>0</v>
      </c>
      <c r="L628" t="s">
        <v>19</v>
      </c>
      <c r="M628" t="s">
        <v>25</v>
      </c>
      <c r="N628" s="1" t="s">
        <v>21</v>
      </c>
      <c r="O628" s="1" t="str">
        <f>IF(OR(TBL_Employees[[#This Row],[Exit Date]],FALSE),"Left employees", "Current employees")</f>
        <v>Current employees</v>
      </c>
    </row>
    <row r="629" spans="1:15" x14ac:dyDescent="0.35">
      <c r="A629" t="s">
        <v>1403</v>
      </c>
      <c r="B629" t="s">
        <v>1404</v>
      </c>
      <c r="C629" t="s">
        <v>69</v>
      </c>
      <c r="D629" t="s">
        <v>31</v>
      </c>
      <c r="E629" t="s">
        <v>32</v>
      </c>
      <c r="F629" t="s">
        <v>28</v>
      </c>
      <c r="G629" t="s">
        <v>18</v>
      </c>
      <c r="H629">
        <v>47</v>
      </c>
      <c r="I629" s="1">
        <v>43990</v>
      </c>
      <c r="J629" s="2">
        <v>115765</v>
      </c>
      <c r="K629" s="3">
        <v>0</v>
      </c>
      <c r="L629" t="s">
        <v>19</v>
      </c>
      <c r="M629" t="s">
        <v>45</v>
      </c>
      <c r="N629" s="1">
        <v>44229</v>
      </c>
      <c r="O629" s="1" t="str">
        <f>IF(OR(TBL_Employees[[#This Row],[Exit Date]],FALSE),"Left employees", "Current employees")</f>
        <v>Left employees</v>
      </c>
    </row>
    <row r="630" spans="1:15" x14ac:dyDescent="0.35">
      <c r="A630" t="s">
        <v>1405</v>
      </c>
      <c r="B630" t="s">
        <v>1406</v>
      </c>
      <c r="C630" t="s">
        <v>40</v>
      </c>
      <c r="D630" t="s">
        <v>65</v>
      </c>
      <c r="E630" t="s">
        <v>36</v>
      </c>
      <c r="F630" t="s">
        <v>17</v>
      </c>
      <c r="G630" t="s">
        <v>24</v>
      </c>
      <c r="H630">
        <v>63</v>
      </c>
      <c r="I630" s="1">
        <v>39147</v>
      </c>
      <c r="J630" s="2">
        <v>193044</v>
      </c>
      <c r="K630" s="3">
        <v>0.15</v>
      </c>
      <c r="L630" t="s">
        <v>19</v>
      </c>
      <c r="M630" t="s">
        <v>45</v>
      </c>
      <c r="N630" s="1" t="s">
        <v>21</v>
      </c>
      <c r="O630" s="1" t="str">
        <f>IF(OR(TBL_Employees[[#This Row],[Exit Date]],FALSE),"Left employees", "Current employees")</f>
        <v>Current employees</v>
      </c>
    </row>
    <row r="631" spans="1:15" x14ac:dyDescent="0.35">
      <c r="A631" t="s">
        <v>1407</v>
      </c>
      <c r="B631" t="s">
        <v>1408</v>
      </c>
      <c r="C631" t="s">
        <v>68</v>
      </c>
      <c r="D631" t="s">
        <v>43</v>
      </c>
      <c r="E631" t="s">
        <v>16</v>
      </c>
      <c r="F631" t="s">
        <v>17</v>
      </c>
      <c r="G631" t="s">
        <v>47</v>
      </c>
      <c r="H631">
        <v>65</v>
      </c>
      <c r="I631" s="1">
        <v>40711</v>
      </c>
      <c r="J631" s="2">
        <v>56686</v>
      </c>
      <c r="K631" s="3">
        <v>0</v>
      </c>
      <c r="L631" t="s">
        <v>19</v>
      </c>
      <c r="M631" t="s">
        <v>63</v>
      </c>
      <c r="N631" s="1">
        <v>42164</v>
      </c>
      <c r="O631" s="1" t="str">
        <f>IF(OR(TBL_Employees[[#This Row],[Exit Date]],FALSE),"Left employees", "Current employees")</f>
        <v>Left employees</v>
      </c>
    </row>
    <row r="632" spans="1:15" x14ac:dyDescent="0.35">
      <c r="A632" t="s">
        <v>1409</v>
      </c>
      <c r="B632" t="s">
        <v>1410</v>
      </c>
      <c r="C632" t="s">
        <v>61</v>
      </c>
      <c r="D632" t="s">
        <v>15</v>
      </c>
      <c r="E632" t="s">
        <v>36</v>
      </c>
      <c r="F632" t="s">
        <v>17</v>
      </c>
      <c r="G632" t="s">
        <v>47</v>
      </c>
      <c r="H632">
        <v>33</v>
      </c>
      <c r="I632" s="1">
        <v>43763</v>
      </c>
      <c r="J632" s="2">
        <v>131652</v>
      </c>
      <c r="K632" s="3">
        <v>0.11</v>
      </c>
      <c r="L632" t="s">
        <v>19</v>
      </c>
      <c r="M632" t="s">
        <v>63</v>
      </c>
      <c r="N632" s="1" t="s">
        <v>21</v>
      </c>
      <c r="O632" s="1" t="str">
        <f>IF(OR(TBL_Employees[[#This Row],[Exit Date]],FALSE),"Left employees", "Current employees")</f>
        <v>Current employees</v>
      </c>
    </row>
    <row r="633" spans="1:15" x14ac:dyDescent="0.35">
      <c r="A633" t="s">
        <v>1411</v>
      </c>
      <c r="B633" t="s">
        <v>1412</v>
      </c>
      <c r="C633" t="s">
        <v>40</v>
      </c>
      <c r="D633" t="s">
        <v>43</v>
      </c>
      <c r="E633" t="s">
        <v>36</v>
      </c>
      <c r="F633" t="s">
        <v>17</v>
      </c>
      <c r="G633" t="s">
        <v>47</v>
      </c>
      <c r="H633">
        <v>45</v>
      </c>
      <c r="I633" s="1">
        <v>39507</v>
      </c>
      <c r="J633" s="2">
        <v>150577</v>
      </c>
      <c r="K633" s="3">
        <v>0.25</v>
      </c>
      <c r="L633" t="s">
        <v>19</v>
      </c>
      <c r="M633" t="s">
        <v>45</v>
      </c>
      <c r="N633" s="1" t="s">
        <v>21</v>
      </c>
      <c r="O633" s="1" t="str">
        <f>IF(OR(TBL_Employees[[#This Row],[Exit Date]],FALSE),"Left employees", "Current employees")</f>
        <v>Current employees</v>
      </c>
    </row>
    <row r="634" spans="1:15" x14ac:dyDescent="0.35">
      <c r="A634" t="s">
        <v>345</v>
      </c>
      <c r="B634" t="s">
        <v>1413</v>
      </c>
      <c r="C634" t="s">
        <v>97</v>
      </c>
      <c r="D634" t="s">
        <v>31</v>
      </c>
      <c r="E634" t="s">
        <v>16</v>
      </c>
      <c r="F634" t="s">
        <v>17</v>
      </c>
      <c r="G634" t="s">
        <v>51</v>
      </c>
      <c r="H634">
        <v>37</v>
      </c>
      <c r="I634" s="1">
        <v>43461</v>
      </c>
      <c r="J634" s="2">
        <v>87359</v>
      </c>
      <c r="K634" s="3">
        <v>0.11</v>
      </c>
      <c r="L634" t="s">
        <v>52</v>
      </c>
      <c r="M634" t="s">
        <v>66</v>
      </c>
      <c r="N634" s="1" t="s">
        <v>21</v>
      </c>
      <c r="O634" s="1" t="str">
        <f>IF(OR(TBL_Employees[[#This Row],[Exit Date]],FALSE),"Left employees", "Current employees")</f>
        <v>Current employees</v>
      </c>
    </row>
    <row r="635" spans="1:15" x14ac:dyDescent="0.35">
      <c r="A635" t="s">
        <v>1414</v>
      </c>
      <c r="B635" t="s">
        <v>1415</v>
      </c>
      <c r="C635" t="s">
        <v>64</v>
      </c>
      <c r="D635" t="s">
        <v>50</v>
      </c>
      <c r="E635" t="s">
        <v>44</v>
      </c>
      <c r="F635" t="s">
        <v>17</v>
      </c>
      <c r="G635" t="s">
        <v>24</v>
      </c>
      <c r="H635">
        <v>60</v>
      </c>
      <c r="I635" s="1">
        <v>41647</v>
      </c>
      <c r="J635" s="2">
        <v>51877</v>
      </c>
      <c r="K635" s="3">
        <v>0</v>
      </c>
      <c r="L635" t="s">
        <v>33</v>
      </c>
      <c r="M635" t="s">
        <v>60</v>
      </c>
      <c r="N635" s="1" t="s">
        <v>21</v>
      </c>
      <c r="O635" s="1" t="str">
        <f>IF(OR(TBL_Employees[[#This Row],[Exit Date]],FALSE),"Left employees", "Current employees")</f>
        <v>Current employees</v>
      </c>
    </row>
    <row r="636" spans="1:15" x14ac:dyDescent="0.35">
      <c r="A636" t="s">
        <v>570</v>
      </c>
      <c r="B636" t="s">
        <v>1416</v>
      </c>
      <c r="C636" t="s">
        <v>88</v>
      </c>
      <c r="D636" t="s">
        <v>27</v>
      </c>
      <c r="E636" t="s">
        <v>36</v>
      </c>
      <c r="F636" t="s">
        <v>28</v>
      </c>
      <c r="G636" t="s">
        <v>24</v>
      </c>
      <c r="H636">
        <v>43</v>
      </c>
      <c r="I636" s="1">
        <v>42753</v>
      </c>
      <c r="J636" s="2">
        <v>86417</v>
      </c>
      <c r="K636" s="3">
        <v>0</v>
      </c>
      <c r="L636" t="s">
        <v>19</v>
      </c>
      <c r="M636" t="s">
        <v>20</v>
      </c>
      <c r="N636" s="1" t="s">
        <v>21</v>
      </c>
      <c r="O636" s="1" t="str">
        <f>IF(OR(TBL_Employees[[#This Row],[Exit Date]],FALSE),"Left employees", "Current employees")</f>
        <v>Current employees</v>
      </c>
    </row>
    <row r="637" spans="1:15" x14ac:dyDescent="0.35">
      <c r="A637" t="s">
        <v>1417</v>
      </c>
      <c r="B637" t="s">
        <v>1418</v>
      </c>
      <c r="C637" t="s">
        <v>98</v>
      </c>
      <c r="D637" t="s">
        <v>27</v>
      </c>
      <c r="E637" t="s">
        <v>16</v>
      </c>
      <c r="F637" t="s">
        <v>17</v>
      </c>
      <c r="G637" t="s">
        <v>24</v>
      </c>
      <c r="H637">
        <v>65</v>
      </c>
      <c r="I637" s="1">
        <v>37749</v>
      </c>
      <c r="J637" s="2">
        <v>96548</v>
      </c>
      <c r="K637" s="3">
        <v>0</v>
      </c>
      <c r="L637" t="s">
        <v>19</v>
      </c>
      <c r="M637" t="s">
        <v>25</v>
      </c>
      <c r="N637" s="1" t="s">
        <v>21</v>
      </c>
      <c r="O637" s="1" t="str">
        <f>IF(OR(TBL_Employees[[#This Row],[Exit Date]],FALSE),"Left employees", "Current employees")</f>
        <v>Current employees</v>
      </c>
    </row>
    <row r="638" spans="1:15" x14ac:dyDescent="0.35">
      <c r="A638" t="s">
        <v>1419</v>
      </c>
      <c r="B638" t="s">
        <v>1420</v>
      </c>
      <c r="C638" t="s">
        <v>42</v>
      </c>
      <c r="D638" t="s">
        <v>65</v>
      </c>
      <c r="E638" t="s">
        <v>36</v>
      </c>
      <c r="F638" t="s">
        <v>17</v>
      </c>
      <c r="G638" t="s">
        <v>24</v>
      </c>
      <c r="H638">
        <v>43</v>
      </c>
      <c r="I638" s="1">
        <v>41662</v>
      </c>
      <c r="J638" s="2">
        <v>92940</v>
      </c>
      <c r="K638" s="3">
        <v>0</v>
      </c>
      <c r="L638" t="s">
        <v>33</v>
      </c>
      <c r="M638" t="s">
        <v>34</v>
      </c>
      <c r="N638" s="1" t="s">
        <v>21</v>
      </c>
      <c r="O638" s="1" t="str">
        <f>IF(OR(TBL_Employees[[#This Row],[Exit Date]],FALSE),"Left employees", "Current employees")</f>
        <v>Current employees</v>
      </c>
    </row>
    <row r="639" spans="1:15" x14ac:dyDescent="0.35">
      <c r="A639" t="s">
        <v>37</v>
      </c>
      <c r="B639" t="s">
        <v>1421</v>
      </c>
      <c r="C639" t="s">
        <v>64</v>
      </c>
      <c r="D639" t="s">
        <v>65</v>
      </c>
      <c r="E639" t="s">
        <v>44</v>
      </c>
      <c r="F639" t="s">
        <v>28</v>
      </c>
      <c r="G639" t="s">
        <v>24</v>
      </c>
      <c r="H639">
        <v>28</v>
      </c>
      <c r="I639" s="1">
        <v>43336</v>
      </c>
      <c r="J639" s="2">
        <v>61410</v>
      </c>
      <c r="K639" s="3">
        <v>0</v>
      </c>
      <c r="L639" t="s">
        <v>19</v>
      </c>
      <c r="M639" t="s">
        <v>39</v>
      </c>
      <c r="N639" s="1" t="s">
        <v>21</v>
      </c>
      <c r="O639" s="1" t="str">
        <f>IF(OR(TBL_Employees[[#This Row],[Exit Date]],FALSE),"Left employees", "Current employees")</f>
        <v>Current employees</v>
      </c>
    </row>
    <row r="640" spans="1:15" x14ac:dyDescent="0.35">
      <c r="A640" t="s">
        <v>1422</v>
      </c>
      <c r="B640" t="s">
        <v>1423</v>
      </c>
      <c r="C640" t="s">
        <v>62</v>
      </c>
      <c r="D640" t="s">
        <v>15</v>
      </c>
      <c r="E640" t="s">
        <v>44</v>
      </c>
      <c r="F640" t="s">
        <v>17</v>
      </c>
      <c r="G640" t="s">
        <v>47</v>
      </c>
      <c r="H640">
        <v>61</v>
      </c>
      <c r="I640" s="1">
        <v>40293</v>
      </c>
      <c r="J640" s="2">
        <v>110302</v>
      </c>
      <c r="K640" s="3">
        <v>0.06</v>
      </c>
      <c r="L640" t="s">
        <v>19</v>
      </c>
      <c r="M640" t="s">
        <v>45</v>
      </c>
      <c r="N640" s="1" t="s">
        <v>21</v>
      </c>
      <c r="O640" s="1" t="str">
        <f>IF(OR(TBL_Employees[[#This Row],[Exit Date]],FALSE),"Left employees", "Current employees")</f>
        <v>Current employees</v>
      </c>
    </row>
    <row r="641" spans="1:15" x14ac:dyDescent="0.35">
      <c r="A641" t="s">
        <v>1424</v>
      </c>
      <c r="B641" t="s">
        <v>1425</v>
      </c>
      <c r="C641" t="s">
        <v>40</v>
      </c>
      <c r="D641" t="s">
        <v>31</v>
      </c>
      <c r="E641" t="s">
        <v>44</v>
      </c>
      <c r="F641" t="s">
        <v>17</v>
      </c>
      <c r="G641" t="s">
        <v>47</v>
      </c>
      <c r="H641">
        <v>45</v>
      </c>
      <c r="I641" s="1">
        <v>43212</v>
      </c>
      <c r="J641" s="2">
        <v>187205</v>
      </c>
      <c r="K641" s="3">
        <v>0.24</v>
      </c>
      <c r="L641" t="s">
        <v>19</v>
      </c>
      <c r="M641" t="s">
        <v>29</v>
      </c>
      <c r="N641" s="1">
        <v>44732</v>
      </c>
      <c r="O641" s="1" t="str">
        <f>IF(OR(TBL_Employees[[#This Row],[Exit Date]],FALSE),"Left employees", "Current employees")</f>
        <v>Left employees</v>
      </c>
    </row>
    <row r="642" spans="1:15" x14ac:dyDescent="0.35">
      <c r="A642" t="s">
        <v>1426</v>
      </c>
      <c r="B642" t="s">
        <v>1427</v>
      </c>
      <c r="C642" t="s">
        <v>42</v>
      </c>
      <c r="D642" t="s">
        <v>50</v>
      </c>
      <c r="E642" t="s">
        <v>32</v>
      </c>
      <c r="F642" t="s">
        <v>28</v>
      </c>
      <c r="G642" t="s">
        <v>18</v>
      </c>
      <c r="H642">
        <v>45</v>
      </c>
      <c r="I642" s="1">
        <v>40618</v>
      </c>
      <c r="J642" s="2">
        <v>81687</v>
      </c>
      <c r="K642" s="3">
        <v>0</v>
      </c>
      <c r="L642" t="s">
        <v>19</v>
      </c>
      <c r="M642" t="s">
        <v>39</v>
      </c>
      <c r="N642" s="1" t="s">
        <v>21</v>
      </c>
      <c r="O642" s="1" t="str">
        <f>IF(OR(TBL_Employees[[#This Row],[Exit Date]],FALSE),"Left employees", "Current employees")</f>
        <v>Current employees</v>
      </c>
    </row>
    <row r="643" spans="1:15" x14ac:dyDescent="0.35">
      <c r="A643" t="s">
        <v>1428</v>
      </c>
      <c r="B643" t="s">
        <v>1429</v>
      </c>
      <c r="C643" t="s">
        <v>14</v>
      </c>
      <c r="D643" t="s">
        <v>27</v>
      </c>
      <c r="E643" t="s">
        <v>44</v>
      </c>
      <c r="F643" t="s">
        <v>28</v>
      </c>
      <c r="G643" t="s">
        <v>51</v>
      </c>
      <c r="H643">
        <v>54</v>
      </c>
      <c r="I643" s="1">
        <v>40040</v>
      </c>
      <c r="J643" s="2">
        <v>241083</v>
      </c>
      <c r="K643" s="3">
        <v>0.39</v>
      </c>
      <c r="L643" t="s">
        <v>19</v>
      </c>
      <c r="M643" t="s">
        <v>29</v>
      </c>
      <c r="N643" s="1" t="s">
        <v>21</v>
      </c>
      <c r="O643" s="1" t="str">
        <f>IF(OR(TBL_Employees[[#This Row],[Exit Date]],FALSE),"Left employees", "Current employees")</f>
        <v>Current employees</v>
      </c>
    </row>
    <row r="644" spans="1:15" x14ac:dyDescent="0.35">
      <c r="A644" t="s">
        <v>121</v>
      </c>
      <c r="B644" t="s">
        <v>1430</v>
      </c>
      <c r="C644" t="s">
        <v>14</v>
      </c>
      <c r="D644" t="s">
        <v>15</v>
      </c>
      <c r="E644" t="s">
        <v>44</v>
      </c>
      <c r="F644" t="s">
        <v>17</v>
      </c>
      <c r="G644" t="s">
        <v>47</v>
      </c>
      <c r="H644">
        <v>38</v>
      </c>
      <c r="I644" s="1">
        <v>43413</v>
      </c>
      <c r="J644" s="2">
        <v>223805</v>
      </c>
      <c r="K644" s="3">
        <v>0.36</v>
      </c>
      <c r="L644" t="s">
        <v>19</v>
      </c>
      <c r="M644" t="s">
        <v>20</v>
      </c>
      <c r="N644" s="1" t="s">
        <v>21</v>
      </c>
      <c r="O644" s="1" t="str">
        <f>IF(OR(TBL_Employees[[#This Row],[Exit Date]],FALSE),"Left employees", "Current employees")</f>
        <v>Current employees</v>
      </c>
    </row>
    <row r="645" spans="1:15" x14ac:dyDescent="0.35">
      <c r="A645" t="s">
        <v>408</v>
      </c>
      <c r="B645" t="s">
        <v>1431</v>
      </c>
      <c r="C645" t="s">
        <v>40</v>
      </c>
      <c r="D645" t="s">
        <v>65</v>
      </c>
      <c r="E645" t="s">
        <v>32</v>
      </c>
      <c r="F645" t="s">
        <v>17</v>
      </c>
      <c r="G645" t="s">
        <v>18</v>
      </c>
      <c r="H645">
        <v>27</v>
      </c>
      <c r="I645" s="1">
        <v>44393</v>
      </c>
      <c r="J645" s="2">
        <v>161759</v>
      </c>
      <c r="K645" s="3">
        <v>0.16</v>
      </c>
      <c r="L645" t="s">
        <v>19</v>
      </c>
      <c r="M645" t="s">
        <v>45</v>
      </c>
      <c r="N645" s="1" t="s">
        <v>21</v>
      </c>
      <c r="O645" s="1" t="str">
        <f>IF(OR(TBL_Employees[[#This Row],[Exit Date]],FALSE),"Left employees", "Current employees")</f>
        <v>Current employees</v>
      </c>
    </row>
    <row r="646" spans="1:15" x14ac:dyDescent="0.35">
      <c r="A646" t="s">
        <v>1432</v>
      </c>
      <c r="B646" t="s">
        <v>1433</v>
      </c>
      <c r="C646" t="s">
        <v>56</v>
      </c>
      <c r="D646" t="s">
        <v>27</v>
      </c>
      <c r="E646" t="s">
        <v>16</v>
      </c>
      <c r="F646" t="s">
        <v>28</v>
      </c>
      <c r="G646" t="s">
        <v>47</v>
      </c>
      <c r="H646">
        <v>40</v>
      </c>
      <c r="I646" s="1">
        <v>43520</v>
      </c>
      <c r="J646" s="2">
        <v>95899</v>
      </c>
      <c r="K646" s="3">
        <v>0.1</v>
      </c>
      <c r="L646" t="s">
        <v>19</v>
      </c>
      <c r="M646" t="s">
        <v>29</v>
      </c>
      <c r="N646" s="1">
        <v>44263</v>
      </c>
      <c r="O646" s="1" t="str">
        <f>IF(OR(TBL_Employees[[#This Row],[Exit Date]],FALSE),"Left employees", "Current employees")</f>
        <v>Left employees</v>
      </c>
    </row>
    <row r="647" spans="1:15" x14ac:dyDescent="0.35">
      <c r="A647" t="s">
        <v>1434</v>
      </c>
      <c r="B647" t="s">
        <v>1435</v>
      </c>
      <c r="C647" t="s">
        <v>42</v>
      </c>
      <c r="D647" t="s">
        <v>15</v>
      </c>
      <c r="E647" t="s">
        <v>32</v>
      </c>
      <c r="F647" t="s">
        <v>28</v>
      </c>
      <c r="G647" t="s">
        <v>24</v>
      </c>
      <c r="H647">
        <v>49</v>
      </c>
      <c r="I647" s="1">
        <v>43623</v>
      </c>
      <c r="J647" s="2">
        <v>80700</v>
      </c>
      <c r="K647" s="3">
        <v>0</v>
      </c>
      <c r="L647" t="s">
        <v>19</v>
      </c>
      <c r="M647" t="s">
        <v>29</v>
      </c>
      <c r="N647" s="1" t="s">
        <v>21</v>
      </c>
      <c r="O647" s="1" t="str">
        <f>IF(OR(TBL_Employees[[#This Row],[Exit Date]],FALSE),"Left employees", "Current employees")</f>
        <v>Current employees</v>
      </c>
    </row>
    <row r="648" spans="1:15" x14ac:dyDescent="0.35">
      <c r="A648" t="s">
        <v>173</v>
      </c>
      <c r="B648" t="s">
        <v>1436</v>
      </c>
      <c r="C648" t="s">
        <v>62</v>
      </c>
      <c r="D648" t="s">
        <v>23</v>
      </c>
      <c r="E648" t="s">
        <v>44</v>
      </c>
      <c r="F648" t="s">
        <v>28</v>
      </c>
      <c r="G648" t="s">
        <v>24</v>
      </c>
      <c r="H648">
        <v>54</v>
      </c>
      <c r="I648" s="1">
        <v>35500</v>
      </c>
      <c r="J648" s="2">
        <v>128136</v>
      </c>
      <c r="K648" s="3">
        <v>0.05</v>
      </c>
      <c r="L648" t="s">
        <v>33</v>
      </c>
      <c r="M648" t="s">
        <v>60</v>
      </c>
      <c r="N648" s="1" t="s">
        <v>21</v>
      </c>
      <c r="O648" s="1" t="str">
        <f>IF(OR(TBL_Employees[[#This Row],[Exit Date]],FALSE),"Left employees", "Current employees")</f>
        <v>Current employees</v>
      </c>
    </row>
    <row r="649" spans="1:15" x14ac:dyDescent="0.35">
      <c r="A649" t="s">
        <v>172</v>
      </c>
      <c r="B649" t="s">
        <v>1437</v>
      </c>
      <c r="C649" t="s">
        <v>64</v>
      </c>
      <c r="D649" t="s">
        <v>43</v>
      </c>
      <c r="E649" t="s">
        <v>32</v>
      </c>
      <c r="F649" t="s">
        <v>17</v>
      </c>
      <c r="G649" t="s">
        <v>18</v>
      </c>
      <c r="H649">
        <v>39</v>
      </c>
      <c r="I649" s="1">
        <v>42843</v>
      </c>
      <c r="J649" s="2">
        <v>58745</v>
      </c>
      <c r="K649" s="3">
        <v>0</v>
      </c>
      <c r="L649" t="s">
        <v>19</v>
      </c>
      <c r="M649" t="s">
        <v>25</v>
      </c>
      <c r="N649" s="1" t="s">
        <v>21</v>
      </c>
      <c r="O649" s="1" t="str">
        <f>IF(OR(TBL_Employees[[#This Row],[Exit Date]],FALSE),"Left employees", "Current employees")</f>
        <v>Current employees</v>
      </c>
    </row>
    <row r="650" spans="1:15" x14ac:dyDescent="0.35">
      <c r="A650" t="s">
        <v>1438</v>
      </c>
      <c r="B650" t="s">
        <v>1439</v>
      </c>
      <c r="C650" t="s">
        <v>55</v>
      </c>
      <c r="D650" t="s">
        <v>27</v>
      </c>
      <c r="E650" t="s">
        <v>32</v>
      </c>
      <c r="F650" t="s">
        <v>17</v>
      </c>
      <c r="G650" t="s">
        <v>24</v>
      </c>
      <c r="H650">
        <v>57</v>
      </c>
      <c r="I650" s="1">
        <v>33728</v>
      </c>
      <c r="J650" s="2">
        <v>76202</v>
      </c>
      <c r="K650" s="3">
        <v>0</v>
      </c>
      <c r="L650" t="s">
        <v>19</v>
      </c>
      <c r="M650" t="s">
        <v>25</v>
      </c>
      <c r="N650" s="1">
        <v>34686</v>
      </c>
      <c r="O650" s="1" t="str">
        <f>IF(OR(TBL_Employees[[#This Row],[Exit Date]],FALSE),"Left employees", "Current employees")</f>
        <v>Left employees</v>
      </c>
    </row>
    <row r="651" spans="1:15" x14ac:dyDescent="0.35">
      <c r="A651" t="s">
        <v>361</v>
      </c>
      <c r="B651" t="s">
        <v>1440</v>
      </c>
      <c r="C651" t="s">
        <v>14</v>
      </c>
      <c r="D651" t="s">
        <v>50</v>
      </c>
      <c r="E651" t="s">
        <v>44</v>
      </c>
      <c r="F651" t="s">
        <v>28</v>
      </c>
      <c r="G651" t="s">
        <v>47</v>
      </c>
      <c r="H651">
        <v>36</v>
      </c>
      <c r="I651" s="1">
        <v>43178</v>
      </c>
      <c r="J651" s="2">
        <v>195200</v>
      </c>
      <c r="K651" s="3">
        <v>0.36</v>
      </c>
      <c r="L651" t="s">
        <v>19</v>
      </c>
      <c r="M651" t="s">
        <v>25</v>
      </c>
      <c r="N651" s="1" t="s">
        <v>21</v>
      </c>
      <c r="O651" s="1" t="str">
        <f>IF(OR(TBL_Employees[[#This Row],[Exit Date]],FALSE),"Left employees", "Current employees")</f>
        <v>Current employees</v>
      </c>
    </row>
    <row r="652" spans="1:15" x14ac:dyDescent="0.35">
      <c r="A652" t="s">
        <v>402</v>
      </c>
      <c r="B652" t="s">
        <v>1441</v>
      </c>
      <c r="C652" t="s">
        <v>64</v>
      </c>
      <c r="D652" t="s">
        <v>15</v>
      </c>
      <c r="E652" t="s">
        <v>36</v>
      </c>
      <c r="F652" t="s">
        <v>17</v>
      </c>
      <c r="G652" t="s">
        <v>24</v>
      </c>
      <c r="H652">
        <v>45</v>
      </c>
      <c r="I652" s="1">
        <v>42711</v>
      </c>
      <c r="J652" s="2">
        <v>71454</v>
      </c>
      <c r="K652" s="3">
        <v>0</v>
      </c>
      <c r="L652" t="s">
        <v>33</v>
      </c>
      <c r="M652" t="s">
        <v>74</v>
      </c>
      <c r="N652" s="1" t="s">
        <v>21</v>
      </c>
      <c r="O652" s="1" t="str">
        <f>IF(OR(TBL_Employees[[#This Row],[Exit Date]],FALSE),"Left employees", "Current employees")</f>
        <v>Current employees</v>
      </c>
    </row>
    <row r="653" spans="1:15" x14ac:dyDescent="0.35">
      <c r="A653" t="s">
        <v>196</v>
      </c>
      <c r="B653" t="s">
        <v>1442</v>
      </c>
      <c r="C653" t="s">
        <v>38</v>
      </c>
      <c r="D653" t="s">
        <v>27</v>
      </c>
      <c r="E653" t="s">
        <v>36</v>
      </c>
      <c r="F653" t="s">
        <v>17</v>
      </c>
      <c r="G653" t="s">
        <v>18</v>
      </c>
      <c r="H653">
        <v>30</v>
      </c>
      <c r="I653" s="1">
        <v>43864</v>
      </c>
      <c r="J653" s="2">
        <v>94652</v>
      </c>
      <c r="K653" s="3">
        <v>0</v>
      </c>
      <c r="L653" t="s">
        <v>19</v>
      </c>
      <c r="M653" t="s">
        <v>63</v>
      </c>
      <c r="N653" s="1" t="s">
        <v>21</v>
      </c>
      <c r="O653" s="1" t="str">
        <f>IF(OR(TBL_Employees[[#This Row],[Exit Date]],FALSE),"Left employees", "Current employees")</f>
        <v>Current employees</v>
      </c>
    </row>
    <row r="654" spans="1:15" x14ac:dyDescent="0.35">
      <c r="A654" t="s">
        <v>70</v>
      </c>
      <c r="B654" t="s">
        <v>1443</v>
      </c>
      <c r="C654" t="s">
        <v>55</v>
      </c>
      <c r="D654" t="s">
        <v>27</v>
      </c>
      <c r="E654" t="s">
        <v>36</v>
      </c>
      <c r="F654" t="s">
        <v>28</v>
      </c>
      <c r="G654" t="s">
        <v>47</v>
      </c>
      <c r="H654">
        <v>34</v>
      </c>
      <c r="I654" s="1">
        <v>42416</v>
      </c>
      <c r="J654" s="2">
        <v>63411</v>
      </c>
      <c r="K654" s="3">
        <v>0</v>
      </c>
      <c r="L654" t="s">
        <v>19</v>
      </c>
      <c r="M654" t="s">
        <v>45</v>
      </c>
      <c r="N654" s="1" t="s">
        <v>21</v>
      </c>
      <c r="O654" s="1" t="str">
        <f>IF(OR(TBL_Employees[[#This Row],[Exit Date]],FALSE),"Left employees", "Current employees")</f>
        <v>Current employees</v>
      </c>
    </row>
    <row r="655" spans="1:15" x14ac:dyDescent="0.35">
      <c r="A655" t="s">
        <v>1444</v>
      </c>
      <c r="B655" t="s">
        <v>1445</v>
      </c>
      <c r="C655" t="s">
        <v>64</v>
      </c>
      <c r="D655" t="s">
        <v>50</v>
      </c>
      <c r="E655" t="s">
        <v>44</v>
      </c>
      <c r="F655" t="s">
        <v>28</v>
      </c>
      <c r="G655" t="s">
        <v>24</v>
      </c>
      <c r="H655">
        <v>31</v>
      </c>
      <c r="I655" s="1">
        <v>43878</v>
      </c>
      <c r="J655" s="2">
        <v>67171</v>
      </c>
      <c r="K655" s="3">
        <v>0</v>
      </c>
      <c r="L655" t="s">
        <v>33</v>
      </c>
      <c r="M655" t="s">
        <v>80</v>
      </c>
      <c r="N655" s="1">
        <v>44317</v>
      </c>
      <c r="O655" s="1" t="str">
        <f>IF(OR(TBL_Employees[[#This Row],[Exit Date]],FALSE),"Left employees", "Current employees")</f>
        <v>Left employees</v>
      </c>
    </row>
    <row r="656" spans="1:15" x14ac:dyDescent="0.35">
      <c r="A656" t="s">
        <v>280</v>
      </c>
      <c r="B656" t="s">
        <v>1446</v>
      </c>
      <c r="C656" t="s">
        <v>61</v>
      </c>
      <c r="D656" t="s">
        <v>65</v>
      </c>
      <c r="E656" t="s">
        <v>44</v>
      </c>
      <c r="F656" t="s">
        <v>17</v>
      </c>
      <c r="G656" t="s">
        <v>51</v>
      </c>
      <c r="H656">
        <v>28</v>
      </c>
      <c r="I656" s="1">
        <v>43652</v>
      </c>
      <c r="J656" s="2">
        <v>152036</v>
      </c>
      <c r="K656" s="3">
        <v>0.15</v>
      </c>
      <c r="L656" t="s">
        <v>52</v>
      </c>
      <c r="M656" t="s">
        <v>66</v>
      </c>
      <c r="N656" s="1" t="s">
        <v>21</v>
      </c>
      <c r="O656" s="1" t="str">
        <f>IF(OR(TBL_Employees[[#This Row],[Exit Date]],FALSE),"Left employees", "Current employees")</f>
        <v>Current employees</v>
      </c>
    </row>
    <row r="657" spans="1:15" x14ac:dyDescent="0.35">
      <c r="A657" t="s">
        <v>90</v>
      </c>
      <c r="B657" t="s">
        <v>1447</v>
      </c>
      <c r="C657" t="s">
        <v>84</v>
      </c>
      <c r="D657" t="s">
        <v>31</v>
      </c>
      <c r="E657" t="s">
        <v>36</v>
      </c>
      <c r="F657" t="s">
        <v>17</v>
      </c>
      <c r="G657" t="s">
        <v>47</v>
      </c>
      <c r="H657">
        <v>55</v>
      </c>
      <c r="I657" s="1">
        <v>44276</v>
      </c>
      <c r="J657" s="2">
        <v>95562</v>
      </c>
      <c r="K657" s="3">
        <v>0</v>
      </c>
      <c r="L657" t="s">
        <v>19</v>
      </c>
      <c r="M657" t="s">
        <v>20</v>
      </c>
      <c r="N657" s="1" t="s">
        <v>21</v>
      </c>
      <c r="O657" s="1" t="str">
        <f>IF(OR(TBL_Employees[[#This Row],[Exit Date]],FALSE),"Left employees", "Current employees")</f>
        <v>Current employees</v>
      </c>
    </row>
    <row r="658" spans="1:15" x14ac:dyDescent="0.35">
      <c r="A658" t="s">
        <v>1448</v>
      </c>
      <c r="B658" t="s">
        <v>1449</v>
      </c>
      <c r="C658" t="s">
        <v>42</v>
      </c>
      <c r="D658" t="s">
        <v>50</v>
      </c>
      <c r="E658" t="s">
        <v>16</v>
      </c>
      <c r="F658" t="s">
        <v>28</v>
      </c>
      <c r="G658" t="s">
        <v>18</v>
      </c>
      <c r="H658">
        <v>30</v>
      </c>
      <c r="I658" s="1">
        <v>43773</v>
      </c>
      <c r="J658" s="2">
        <v>96092</v>
      </c>
      <c r="K658" s="3">
        <v>0</v>
      </c>
      <c r="L658" t="s">
        <v>19</v>
      </c>
      <c r="M658" t="s">
        <v>25</v>
      </c>
      <c r="N658" s="1" t="s">
        <v>21</v>
      </c>
      <c r="O658" s="1" t="str">
        <f>IF(OR(TBL_Employees[[#This Row],[Exit Date]],FALSE),"Left employees", "Current employees")</f>
        <v>Current employees</v>
      </c>
    </row>
    <row r="659" spans="1:15" x14ac:dyDescent="0.35">
      <c r="A659" t="s">
        <v>285</v>
      </c>
      <c r="B659" t="s">
        <v>1450</v>
      </c>
      <c r="C659" t="s">
        <v>14</v>
      </c>
      <c r="D659" t="s">
        <v>31</v>
      </c>
      <c r="E659" t="s">
        <v>36</v>
      </c>
      <c r="F659" t="s">
        <v>28</v>
      </c>
      <c r="G659" t="s">
        <v>24</v>
      </c>
      <c r="H659">
        <v>63</v>
      </c>
      <c r="I659" s="1">
        <v>41428</v>
      </c>
      <c r="J659" s="2">
        <v>254289</v>
      </c>
      <c r="K659" s="3">
        <v>0.39</v>
      </c>
      <c r="L659" t="s">
        <v>19</v>
      </c>
      <c r="M659" t="s">
        <v>20</v>
      </c>
      <c r="N659" s="1" t="s">
        <v>21</v>
      </c>
      <c r="O659" s="1" t="str">
        <f>IF(OR(TBL_Employees[[#This Row],[Exit Date]],FALSE),"Left employees", "Current employees")</f>
        <v>Current employees</v>
      </c>
    </row>
    <row r="660" spans="1:15" x14ac:dyDescent="0.35">
      <c r="A660" t="s">
        <v>1451</v>
      </c>
      <c r="B660" t="s">
        <v>1452</v>
      </c>
      <c r="C660" t="s">
        <v>56</v>
      </c>
      <c r="D660" t="s">
        <v>27</v>
      </c>
      <c r="E660" t="s">
        <v>16</v>
      </c>
      <c r="F660" t="s">
        <v>28</v>
      </c>
      <c r="G660" t="s">
        <v>18</v>
      </c>
      <c r="H660">
        <v>26</v>
      </c>
      <c r="I660" s="1">
        <v>43656</v>
      </c>
      <c r="J660" s="2">
        <v>69110</v>
      </c>
      <c r="K660" s="3">
        <v>0.05</v>
      </c>
      <c r="L660" t="s">
        <v>19</v>
      </c>
      <c r="M660" t="s">
        <v>20</v>
      </c>
      <c r="N660" s="1" t="s">
        <v>21</v>
      </c>
      <c r="O660" s="1" t="str">
        <f>IF(OR(TBL_Employees[[#This Row],[Exit Date]],FALSE),"Left employees", "Current employees")</f>
        <v>Current employees</v>
      </c>
    </row>
    <row r="661" spans="1:15" x14ac:dyDescent="0.35">
      <c r="A661" t="s">
        <v>1453</v>
      </c>
      <c r="B661" t="s">
        <v>1454</v>
      </c>
      <c r="C661" t="s">
        <v>14</v>
      </c>
      <c r="D661" t="s">
        <v>43</v>
      </c>
      <c r="E661" t="s">
        <v>44</v>
      </c>
      <c r="F661" t="s">
        <v>28</v>
      </c>
      <c r="G661" t="s">
        <v>18</v>
      </c>
      <c r="H661">
        <v>52</v>
      </c>
      <c r="I661" s="1">
        <v>37418</v>
      </c>
      <c r="J661" s="2">
        <v>236314</v>
      </c>
      <c r="K661" s="3">
        <v>0.34</v>
      </c>
      <c r="L661" t="s">
        <v>19</v>
      </c>
      <c r="M661" t="s">
        <v>45</v>
      </c>
      <c r="N661" s="1" t="s">
        <v>21</v>
      </c>
      <c r="O661" s="1" t="str">
        <f>IF(OR(TBL_Employees[[#This Row],[Exit Date]],FALSE),"Left employees", "Current employees")</f>
        <v>Current employees</v>
      </c>
    </row>
    <row r="662" spans="1:15" x14ac:dyDescent="0.35">
      <c r="A662" t="s">
        <v>1455</v>
      </c>
      <c r="B662" t="s">
        <v>1456</v>
      </c>
      <c r="C662" t="s">
        <v>68</v>
      </c>
      <c r="D662" t="s">
        <v>43</v>
      </c>
      <c r="E662" t="s">
        <v>32</v>
      </c>
      <c r="F662" t="s">
        <v>28</v>
      </c>
      <c r="G662" t="s">
        <v>51</v>
      </c>
      <c r="H662">
        <v>51</v>
      </c>
      <c r="I662" s="1">
        <v>39252</v>
      </c>
      <c r="J662" s="2">
        <v>45206</v>
      </c>
      <c r="K662" s="3">
        <v>0</v>
      </c>
      <c r="L662" t="s">
        <v>19</v>
      </c>
      <c r="M662" t="s">
        <v>29</v>
      </c>
      <c r="N662" s="1" t="s">
        <v>21</v>
      </c>
      <c r="O662" s="1" t="str">
        <f>IF(OR(TBL_Employees[[#This Row],[Exit Date]],FALSE),"Left employees", "Current employees")</f>
        <v>Current employees</v>
      </c>
    </row>
    <row r="663" spans="1:15" x14ac:dyDescent="0.35">
      <c r="A663" t="s">
        <v>248</v>
      </c>
      <c r="B663" t="s">
        <v>1457</v>
      </c>
      <c r="C663" t="s">
        <v>14</v>
      </c>
      <c r="D663" t="s">
        <v>15</v>
      </c>
      <c r="E663" t="s">
        <v>16</v>
      </c>
      <c r="F663" t="s">
        <v>17</v>
      </c>
      <c r="G663" t="s">
        <v>24</v>
      </c>
      <c r="H663">
        <v>25</v>
      </c>
      <c r="I663" s="1">
        <v>44515</v>
      </c>
      <c r="J663" s="2">
        <v>210708</v>
      </c>
      <c r="K663" s="3">
        <v>0.33</v>
      </c>
      <c r="L663" t="s">
        <v>19</v>
      </c>
      <c r="M663" t="s">
        <v>20</v>
      </c>
      <c r="N663" s="1" t="s">
        <v>21</v>
      </c>
      <c r="O663" s="1" t="str">
        <f>IF(OR(TBL_Employees[[#This Row],[Exit Date]],FALSE),"Left employees", "Current employees")</f>
        <v>Current employees</v>
      </c>
    </row>
    <row r="664" spans="1:15" x14ac:dyDescent="0.35">
      <c r="A664" t="s">
        <v>127</v>
      </c>
      <c r="B664" t="s">
        <v>1458</v>
      </c>
      <c r="C664" t="s">
        <v>98</v>
      </c>
      <c r="D664" t="s">
        <v>27</v>
      </c>
      <c r="E664" t="s">
        <v>32</v>
      </c>
      <c r="F664" t="s">
        <v>28</v>
      </c>
      <c r="G664" t="s">
        <v>51</v>
      </c>
      <c r="H664">
        <v>40</v>
      </c>
      <c r="I664" s="1">
        <v>44465</v>
      </c>
      <c r="J664" s="2">
        <v>87770</v>
      </c>
      <c r="K664" s="3">
        <v>0</v>
      </c>
      <c r="L664" t="s">
        <v>19</v>
      </c>
      <c r="M664" t="s">
        <v>25</v>
      </c>
      <c r="N664" s="1" t="s">
        <v>21</v>
      </c>
      <c r="O664" s="1" t="str">
        <f>IF(OR(TBL_Employees[[#This Row],[Exit Date]],FALSE),"Left employees", "Current employees")</f>
        <v>Current employees</v>
      </c>
    </row>
    <row r="665" spans="1:15" x14ac:dyDescent="0.35">
      <c r="A665" t="s">
        <v>1459</v>
      </c>
      <c r="B665" t="s">
        <v>1460</v>
      </c>
      <c r="C665" t="s">
        <v>62</v>
      </c>
      <c r="D665" t="s">
        <v>65</v>
      </c>
      <c r="E665" t="s">
        <v>32</v>
      </c>
      <c r="F665" t="s">
        <v>17</v>
      </c>
      <c r="G665" t="s">
        <v>18</v>
      </c>
      <c r="H665">
        <v>38</v>
      </c>
      <c r="I665" s="1">
        <v>42228</v>
      </c>
      <c r="J665" s="2">
        <v>106858</v>
      </c>
      <c r="K665" s="3">
        <v>0.05</v>
      </c>
      <c r="L665" t="s">
        <v>19</v>
      </c>
      <c r="M665" t="s">
        <v>63</v>
      </c>
      <c r="N665" s="1" t="s">
        <v>21</v>
      </c>
      <c r="O665" s="1" t="str">
        <f>IF(OR(TBL_Employees[[#This Row],[Exit Date]],FALSE),"Left employees", "Current employees")</f>
        <v>Current employees</v>
      </c>
    </row>
    <row r="666" spans="1:15" x14ac:dyDescent="0.35">
      <c r="A666" t="s">
        <v>1461</v>
      </c>
      <c r="B666" t="s">
        <v>1462</v>
      </c>
      <c r="C666" t="s">
        <v>40</v>
      </c>
      <c r="D666" t="s">
        <v>23</v>
      </c>
      <c r="E666" t="s">
        <v>32</v>
      </c>
      <c r="F666" t="s">
        <v>28</v>
      </c>
      <c r="G666" t="s">
        <v>18</v>
      </c>
      <c r="H666">
        <v>60</v>
      </c>
      <c r="I666" s="1">
        <v>42108</v>
      </c>
      <c r="J666" s="2">
        <v>155788</v>
      </c>
      <c r="K666" s="3">
        <v>0.17</v>
      </c>
      <c r="L666" t="s">
        <v>19</v>
      </c>
      <c r="M666" t="s">
        <v>63</v>
      </c>
      <c r="N666" s="1" t="s">
        <v>21</v>
      </c>
      <c r="O666" s="1" t="str">
        <f>IF(OR(TBL_Employees[[#This Row],[Exit Date]],FALSE),"Left employees", "Current employees")</f>
        <v>Current employees</v>
      </c>
    </row>
    <row r="667" spans="1:15" x14ac:dyDescent="0.35">
      <c r="A667" t="s">
        <v>202</v>
      </c>
      <c r="B667" t="s">
        <v>1463</v>
      </c>
      <c r="C667" t="s">
        <v>77</v>
      </c>
      <c r="D667" t="s">
        <v>23</v>
      </c>
      <c r="E667" t="s">
        <v>44</v>
      </c>
      <c r="F667" t="s">
        <v>17</v>
      </c>
      <c r="G667" t="s">
        <v>51</v>
      </c>
      <c r="H667">
        <v>45</v>
      </c>
      <c r="I667" s="1">
        <v>43581</v>
      </c>
      <c r="J667" s="2">
        <v>74891</v>
      </c>
      <c r="K667" s="3">
        <v>0</v>
      </c>
      <c r="L667" t="s">
        <v>52</v>
      </c>
      <c r="M667" t="s">
        <v>66</v>
      </c>
      <c r="N667" s="1" t="s">
        <v>21</v>
      </c>
      <c r="O667" s="1" t="str">
        <f>IF(OR(TBL_Employees[[#This Row],[Exit Date]],FALSE),"Left employees", "Current employees")</f>
        <v>Current employees</v>
      </c>
    </row>
    <row r="668" spans="1:15" x14ac:dyDescent="0.35">
      <c r="A668" t="s">
        <v>1464</v>
      </c>
      <c r="B668" t="s">
        <v>1465</v>
      </c>
      <c r="C668" t="s">
        <v>84</v>
      </c>
      <c r="D668" t="s">
        <v>31</v>
      </c>
      <c r="E668" t="s">
        <v>32</v>
      </c>
      <c r="F668" t="s">
        <v>28</v>
      </c>
      <c r="G668" t="s">
        <v>24</v>
      </c>
      <c r="H668">
        <v>28</v>
      </c>
      <c r="I668" s="1">
        <v>44548</v>
      </c>
      <c r="J668" s="2">
        <v>95670</v>
      </c>
      <c r="K668" s="3">
        <v>0</v>
      </c>
      <c r="L668" t="s">
        <v>19</v>
      </c>
      <c r="M668" t="s">
        <v>39</v>
      </c>
      <c r="N668" s="1" t="s">
        <v>21</v>
      </c>
      <c r="O668" s="1" t="str">
        <f>IF(OR(TBL_Employees[[#This Row],[Exit Date]],FALSE),"Left employees", "Current employees")</f>
        <v>Current employees</v>
      </c>
    </row>
    <row r="669" spans="1:15" x14ac:dyDescent="0.35">
      <c r="A669" t="s">
        <v>159</v>
      </c>
      <c r="B669" t="s">
        <v>1466</v>
      </c>
      <c r="C669" t="s">
        <v>94</v>
      </c>
      <c r="D669" t="s">
        <v>50</v>
      </c>
      <c r="E669" t="s">
        <v>16</v>
      </c>
      <c r="F669" t="s">
        <v>17</v>
      </c>
      <c r="G669" t="s">
        <v>47</v>
      </c>
      <c r="H669">
        <v>65</v>
      </c>
      <c r="I669" s="1">
        <v>36798</v>
      </c>
      <c r="J669" s="2">
        <v>67837</v>
      </c>
      <c r="K669" s="3">
        <v>0</v>
      </c>
      <c r="L669" t="s">
        <v>19</v>
      </c>
      <c r="M669" t="s">
        <v>25</v>
      </c>
      <c r="N669" s="1" t="s">
        <v>21</v>
      </c>
      <c r="O669" s="1" t="str">
        <f>IF(OR(TBL_Employees[[#This Row],[Exit Date]],FALSE),"Left employees", "Current employees")</f>
        <v>Current employees</v>
      </c>
    </row>
    <row r="670" spans="1:15" x14ac:dyDescent="0.35">
      <c r="A670" t="s">
        <v>1467</v>
      </c>
      <c r="B670" t="s">
        <v>1468</v>
      </c>
      <c r="C670" t="s">
        <v>64</v>
      </c>
      <c r="D670" t="s">
        <v>50</v>
      </c>
      <c r="E670" t="s">
        <v>16</v>
      </c>
      <c r="F670" t="s">
        <v>28</v>
      </c>
      <c r="G670" t="s">
        <v>24</v>
      </c>
      <c r="H670">
        <v>41</v>
      </c>
      <c r="I670" s="1">
        <v>40333</v>
      </c>
      <c r="J670" s="2">
        <v>72425</v>
      </c>
      <c r="K670" s="3">
        <v>0</v>
      </c>
      <c r="L670" t="s">
        <v>33</v>
      </c>
      <c r="M670" t="s">
        <v>60</v>
      </c>
      <c r="N670" s="1" t="s">
        <v>21</v>
      </c>
      <c r="O670" s="1" t="str">
        <f>IF(OR(TBL_Employees[[#This Row],[Exit Date]],FALSE),"Left employees", "Current employees")</f>
        <v>Current employees</v>
      </c>
    </row>
    <row r="671" spans="1:15" x14ac:dyDescent="0.35">
      <c r="A671" t="s">
        <v>238</v>
      </c>
      <c r="B671" t="s">
        <v>1469</v>
      </c>
      <c r="C671" t="s">
        <v>42</v>
      </c>
      <c r="D671" t="s">
        <v>50</v>
      </c>
      <c r="E671" t="s">
        <v>32</v>
      </c>
      <c r="F671" t="s">
        <v>17</v>
      </c>
      <c r="G671" t="s">
        <v>51</v>
      </c>
      <c r="H671">
        <v>52</v>
      </c>
      <c r="I671" s="1">
        <v>34623</v>
      </c>
      <c r="J671" s="2">
        <v>93103</v>
      </c>
      <c r="K671" s="3">
        <v>0</v>
      </c>
      <c r="L671" t="s">
        <v>19</v>
      </c>
      <c r="M671" t="s">
        <v>39</v>
      </c>
      <c r="N671" s="1" t="s">
        <v>21</v>
      </c>
      <c r="O671" s="1" t="str">
        <f>IF(OR(TBL_Employees[[#This Row],[Exit Date]],FALSE),"Left employees", "Current employees")</f>
        <v>Current employees</v>
      </c>
    </row>
    <row r="672" spans="1:15" x14ac:dyDescent="0.35">
      <c r="A672" t="s">
        <v>309</v>
      </c>
      <c r="B672" t="s">
        <v>1470</v>
      </c>
      <c r="C672" t="s">
        <v>84</v>
      </c>
      <c r="D672" t="s">
        <v>31</v>
      </c>
      <c r="E672" t="s">
        <v>32</v>
      </c>
      <c r="F672" t="s">
        <v>17</v>
      </c>
      <c r="G672" t="s">
        <v>18</v>
      </c>
      <c r="H672">
        <v>56</v>
      </c>
      <c r="I672" s="1">
        <v>42291</v>
      </c>
      <c r="J672" s="2">
        <v>76272</v>
      </c>
      <c r="K672" s="3">
        <v>0</v>
      </c>
      <c r="L672" t="s">
        <v>19</v>
      </c>
      <c r="M672" t="s">
        <v>45</v>
      </c>
      <c r="N672" s="1">
        <v>44491</v>
      </c>
      <c r="O672" s="1" t="str">
        <f>IF(OR(TBL_Employees[[#This Row],[Exit Date]],FALSE),"Left employees", "Current employees")</f>
        <v>Left employees</v>
      </c>
    </row>
    <row r="673" spans="1:15" x14ac:dyDescent="0.35">
      <c r="A673" t="s">
        <v>267</v>
      </c>
      <c r="B673" t="s">
        <v>1471</v>
      </c>
      <c r="C673" t="s">
        <v>64</v>
      </c>
      <c r="D673" t="s">
        <v>15</v>
      </c>
      <c r="E673" t="s">
        <v>36</v>
      </c>
      <c r="F673" t="s">
        <v>17</v>
      </c>
      <c r="G673" t="s">
        <v>24</v>
      </c>
      <c r="H673">
        <v>48</v>
      </c>
      <c r="I673" s="1">
        <v>37796</v>
      </c>
      <c r="J673" s="2">
        <v>55760</v>
      </c>
      <c r="K673" s="3">
        <v>0</v>
      </c>
      <c r="L673" t="s">
        <v>19</v>
      </c>
      <c r="M673" t="s">
        <v>25</v>
      </c>
      <c r="N673" s="1" t="s">
        <v>21</v>
      </c>
      <c r="O673" s="1" t="str">
        <f>IF(OR(TBL_Employees[[#This Row],[Exit Date]],FALSE),"Left employees", "Current employees")</f>
        <v>Current employees</v>
      </c>
    </row>
    <row r="674" spans="1:15" x14ac:dyDescent="0.35">
      <c r="A674" t="s">
        <v>1472</v>
      </c>
      <c r="B674" t="s">
        <v>1473</v>
      </c>
      <c r="C674" t="s">
        <v>14</v>
      </c>
      <c r="D674" t="s">
        <v>65</v>
      </c>
      <c r="E674" t="s">
        <v>32</v>
      </c>
      <c r="F674" t="s">
        <v>17</v>
      </c>
      <c r="G674" t="s">
        <v>18</v>
      </c>
      <c r="H674">
        <v>36</v>
      </c>
      <c r="I674" s="1">
        <v>43843</v>
      </c>
      <c r="J674" s="2">
        <v>253294</v>
      </c>
      <c r="K674" s="3">
        <v>0.4</v>
      </c>
      <c r="L674" t="s">
        <v>19</v>
      </c>
      <c r="M674" t="s">
        <v>45</v>
      </c>
      <c r="N674" s="1" t="s">
        <v>21</v>
      </c>
      <c r="O674" s="1" t="str">
        <f>IF(OR(TBL_Employees[[#This Row],[Exit Date]],FALSE),"Left employees", "Current employees")</f>
        <v>Current employees</v>
      </c>
    </row>
    <row r="675" spans="1:15" x14ac:dyDescent="0.35">
      <c r="A675" t="s">
        <v>1474</v>
      </c>
      <c r="B675" t="s">
        <v>1475</v>
      </c>
      <c r="C675" t="s">
        <v>64</v>
      </c>
      <c r="D675" t="s">
        <v>15</v>
      </c>
      <c r="E675" t="s">
        <v>32</v>
      </c>
      <c r="F675" t="s">
        <v>28</v>
      </c>
      <c r="G675" t="s">
        <v>18</v>
      </c>
      <c r="H675">
        <v>60</v>
      </c>
      <c r="I675" s="1">
        <v>39310</v>
      </c>
      <c r="J675" s="2">
        <v>58671</v>
      </c>
      <c r="K675" s="3">
        <v>0</v>
      </c>
      <c r="L675" t="s">
        <v>19</v>
      </c>
      <c r="M675" t="s">
        <v>29</v>
      </c>
      <c r="N675" s="1" t="s">
        <v>21</v>
      </c>
      <c r="O675" s="1" t="str">
        <f>IF(OR(TBL_Employees[[#This Row],[Exit Date]],FALSE),"Left employees", "Current employees")</f>
        <v>Current employees</v>
      </c>
    </row>
    <row r="676" spans="1:15" x14ac:dyDescent="0.35">
      <c r="A676" t="s">
        <v>1476</v>
      </c>
      <c r="B676" t="s">
        <v>1477</v>
      </c>
      <c r="C676" t="s">
        <v>94</v>
      </c>
      <c r="D676" t="s">
        <v>50</v>
      </c>
      <c r="E676" t="s">
        <v>16</v>
      </c>
      <c r="F676" t="s">
        <v>17</v>
      </c>
      <c r="G676" t="s">
        <v>24</v>
      </c>
      <c r="H676">
        <v>40</v>
      </c>
      <c r="I676" s="1">
        <v>43175</v>
      </c>
      <c r="J676" s="2">
        <v>55457</v>
      </c>
      <c r="K676" s="3">
        <v>0</v>
      </c>
      <c r="L676" t="s">
        <v>19</v>
      </c>
      <c r="M676" t="s">
        <v>29</v>
      </c>
      <c r="N676" s="1" t="s">
        <v>21</v>
      </c>
      <c r="O676" s="1" t="str">
        <f>IF(OR(TBL_Employees[[#This Row],[Exit Date]],FALSE),"Left employees", "Current employees")</f>
        <v>Current employees</v>
      </c>
    </row>
    <row r="677" spans="1:15" x14ac:dyDescent="0.35">
      <c r="A677" t="s">
        <v>165</v>
      </c>
      <c r="B677" t="s">
        <v>1478</v>
      </c>
      <c r="C677" t="s">
        <v>94</v>
      </c>
      <c r="D677" t="s">
        <v>50</v>
      </c>
      <c r="E677" t="s">
        <v>36</v>
      </c>
      <c r="F677" t="s">
        <v>17</v>
      </c>
      <c r="G677" t="s">
        <v>24</v>
      </c>
      <c r="H677">
        <v>63</v>
      </c>
      <c r="I677" s="1">
        <v>43004</v>
      </c>
      <c r="J677" s="2">
        <v>72340</v>
      </c>
      <c r="K677" s="3">
        <v>0</v>
      </c>
      <c r="L677" t="s">
        <v>19</v>
      </c>
      <c r="M677" t="s">
        <v>39</v>
      </c>
      <c r="N677" s="1">
        <v>43558</v>
      </c>
      <c r="O677" s="1" t="str">
        <f>IF(OR(TBL_Employees[[#This Row],[Exit Date]],FALSE),"Left employees", "Current employees")</f>
        <v>Left employees</v>
      </c>
    </row>
    <row r="678" spans="1:15" x14ac:dyDescent="0.35">
      <c r="A678" t="s">
        <v>1479</v>
      </c>
      <c r="B678" t="s">
        <v>1480</v>
      </c>
      <c r="C678" t="s">
        <v>62</v>
      </c>
      <c r="D678" t="s">
        <v>43</v>
      </c>
      <c r="E678" t="s">
        <v>32</v>
      </c>
      <c r="F678" t="s">
        <v>17</v>
      </c>
      <c r="G678" t="s">
        <v>18</v>
      </c>
      <c r="H678">
        <v>29</v>
      </c>
      <c r="I678" s="1">
        <v>42676</v>
      </c>
      <c r="J678" s="2">
        <v>122054</v>
      </c>
      <c r="K678" s="3">
        <v>0.06</v>
      </c>
      <c r="L678" t="s">
        <v>19</v>
      </c>
      <c r="M678" t="s">
        <v>39</v>
      </c>
      <c r="N678" s="1" t="s">
        <v>21</v>
      </c>
      <c r="O678" s="1" t="str">
        <f>IF(OR(TBL_Employees[[#This Row],[Exit Date]],FALSE),"Left employees", "Current employees")</f>
        <v>Current employees</v>
      </c>
    </row>
    <row r="679" spans="1:15" x14ac:dyDescent="0.35">
      <c r="A679" t="s">
        <v>1481</v>
      </c>
      <c r="B679" t="s">
        <v>1482</v>
      </c>
      <c r="C679" t="s">
        <v>40</v>
      </c>
      <c r="D679" t="s">
        <v>27</v>
      </c>
      <c r="E679" t="s">
        <v>36</v>
      </c>
      <c r="F679" t="s">
        <v>17</v>
      </c>
      <c r="G679" t="s">
        <v>24</v>
      </c>
      <c r="H679">
        <v>27</v>
      </c>
      <c r="I679" s="1">
        <v>43103</v>
      </c>
      <c r="J679" s="2">
        <v>167100</v>
      </c>
      <c r="K679" s="3">
        <v>0.2</v>
      </c>
      <c r="L679" t="s">
        <v>33</v>
      </c>
      <c r="M679" t="s">
        <v>34</v>
      </c>
      <c r="N679" s="1" t="s">
        <v>21</v>
      </c>
      <c r="O679" s="1" t="str">
        <f>IF(OR(TBL_Employees[[#This Row],[Exit Date]],FALSE),"Left employees", "Current employees")</f>
        <v>Current employees</v>
      </c>
    </row>
    <row r="680" spans="1:15" x14ac:dyDescent="0.35">
      <c r="A680" t="s">
        <v>1483</v>
      </c>
      <c r="B680" t="s">
        <v>1484</v>
      </c>
      <c r="C680" t="s">
        <v>55</v>
      </c>
      <c r="D680" t="s">
        <v>27</v>
      </c>
      <c r="E680" t="s">
        <v>32</v>
      </c>
      <c r="F680" t="s">
        <v>17</v>
      </c>
      <c r="G680" t="s">
        <v>18</v>
      </c>
      <c r="H680">
        <v>53</v>
      </c>
      <c r="I680" s="1">
        <v>35543</v>
      </c>
      <c r="J680" s="2">
        <v>78153</v>
      </c>
      <c r="K680" s="3">
        <v>0</v>
      </c>
      <c r="L680" t="s">
        <v>19</v>
      </c>
      <c r="M680" t="s">
        <v>45</v>
      </c>
      <c r="N680" s="1" t="s">
        <v>21</v>
      </c>
      <c r="O680" s="1" t="str">
        <f>IF(OR(TBL_Employees[[#This Row],[Exit Date]],FALSE),"Left employees", "Current employees")</f>
        <v>Current employees</v>
      </c>
    </row>
    <row r="681" spans="1:15" x14ac:dyDescent="0.35">
      <c r="A681" t="s">
        <v>1485</v>
      </c>
      <c r="B681" t="s">
        <v>1486</v>
      </c>
      <c r="C681" t="s">
        <v>62</v>
      </c>
      <c r="D681" t="s">
        <v>15</v>
      </c>
      <c r="E681" t="s">
        <v>36</v>
      </c>
      <c r="F681" t="s">
        <v>17</v>
      </c>
      <c r="G681" t="s">
        <v>18</v>
      </c>
      <c r="H681">
        <v>37</v>
      </c>
      <c r="I681" s="1">
        <v>43935</v>
      </c>
      <c r="J681" s="2">
        <v>103524</v>
      </c>
      <c r="K681" s="3">
        <v>0.09</v>
      </c>
      <c r="L681" t="s">
        <v>19</v>
      </c>
      <c r="M681" t="s">
        <v>39</v>
      </c>
      <c r="N681" s="1" t="s">
        <v>21</v>
      </c>
      <c r="O681" s="1" t="str">
        <f>IF(OR(TBL_Employees[[#This Row],[Exit Date]],FALSE),"Left employees", "Current employees")</f>
        <v>Current employees</v>
      </c>
    </row>
    <row r="682" spans="1:15" x14ac:dyDescent="0.35">
      <c r="A682" t="s">
        <v>1487</v>
      </c>
      <c r="B682" t="s">
        <v>1488</v>
      </c>
      <c r="C682" t="s">
        <v>62</v>
      </c>
      <c r="D682" t="s">
        <v>27</v>
      </c>
      <c r="E682" t="s">
        <v>32</v>
      </c>
      <c r="F682" t="s">
        <v>28</v>
      </c>
      <c r="G682" t="s">
        <v>18</v>
      </c>
      <c r="H682">
        <v>30</v>
      </c>
      <c r="I682" s="1">
        <v>42952</v>
      </c>
      <c r="J682" s="2">
        <v>119906</v>
      </c>
      <c r="K682" s="3">
        <v>0.05</v>
      </c>
      <c r="L682" t="s">
        <v>19</v>
      </c>
      <c r="M682" t="s">
        <v>29</v>
      </c>
      <c r="N682" s="1" t="s">
        <v>21</v>
      </c>
      <c r="O682" s="1" t="str">
        <f>IF(OR(TBL_Employees[[#This Row],[Exit Date]],FALSE),"Left employees", "Current employees")</f>
        <v>Current employees</v>
      </c>
    </row>
    <row r="683" spans="1:15" x14ac:dyDescent="0.35">
      <c r="A683" t="s">
        <v>1489</v>
      </c>
      <c r="B683" t="s">
        <v>356</v>
      </c>
      <c r="C683" t="s">
        <v>68</v>
      </c>
      <c r="D683" t="s">
        <v>43</v>
      </c>
      <c r="E683" t="s">
        <v>44</v>
      </c>
      <c r="F683" t="s">
        <v>17</v>
      </c>
      <c r="G683" t="s">
        <v>18</v>
      </c>
      <c r="H683">
        <v>28</v>
      </c>
      <c r="I683" s="1">
        <v>43847</v>
      </c>
      <c r="J683" s="2">
        <v>45061</v>
      </c>
      <c r="K683" s="3">
        <v>0</v>
      </c>
      <c r="L683" t="s">
        <v>19</v>
      </c>
      <c r="M683" t="s">
        <v>45</v>
      </c>
      <c r="N683" s="1" t="s">
        <v>21</v>
      </c>
      <c r="O683" s="1" t="str">
        <f>IF(OR(TBL_Employees[[#This Row],[Exit Date]],FALSE),"Left employees", "Current employees")</f>
        <v>Current employees</v>
      </c>
    </row>
    <row r="684" spans="1:15" x14ac:dyDescent="0.35">
      <c r="A684" t="s">
        <v>120</v>
      </c>
      <c r="B684" t="s">
        <v>1490</v>
      </c>
      <c r="C684" t="s">
        <v>91</v>
      </c>
      <c r="D684" t="s">
        <v>27</v>
      </c>
      <c r="E684" t="s">
        <v>32</v>
      </c>
      <c r="F684" t="s">
        <v>28</v>
      </c>
      <c r="G684" t="s">
        <v>24</v>
      </c>
      <c r="H684">
        <v>51</v>
      </c>
      <c r="I684" s="1">
        <v>37638</v>
      </c>
      <c r="J684" s="2">
        <v>91399</v>
      </c>
      <c r="K684" s="3">
        <v>0</v>
      </c>
      <c r="L684" t="s">
        <v>19</v>
      </c>
      <c r="M684" t="s">
        <v>63</v>
      </c>
      <c r="N684" s="1" t="s">
        <v>21</v>
      </c>
      <c r="O684" s="1" t="str">
        <f>IF(OR(TBL_Employees[[#This Row],[Exit Date]],FALSE),"Left employees", "Current employees")</f>
        <v>Current employees</v>
      </c>
    </row>
    <row r="685" spans="1:15" x14ac:dyDescent="0.35">
      <c r="A685" t="s">
        <v>1491</v>
      </c>
      <c r="B685" t="s">
        <v>1492</v>
      </c>
      <c r="C685" t="s">
        <v>26</v>
      </c>
      <c r="D685" t="s">
        <v>27</v>
      </c>
      <c r="E685" t="s">
        <v>16</v>
      </c>
      <c r="F685" t="s">
        <v>28</v>
      </c>
      <c r="G685" t="s">
        <v>51</v>
      </c>
      <c r="H685">
        <v>28</v>
      </c>
      <c r="I685" s="1">
        <v>43006</v>
      </c>
      <c r="J685" s="2">
        <v>97336</v>
      </c>
      <c r="K685" s="3">
        <v>0</v>
      </c>
      <c r="L685" t="s">
        <v>19</v>
      </c>
      <c r="M685" t="s">
        <v>25</v>
      </c>
      <c r="N685" s="1" t="s">
        <v>21</v>
      </c>
      <c r="O685" s="1" t="str">
        <f>IF(OR(TBL_Employees[[#This Row],[Exit Date]],FALSE),"Left employees", "Current employees")</f>
        <v>Current employees</v>
      </c>
    </row>
    <row r="686" spans="1:15" x14ac:dyDescent="0.35">
      <c r="A686" t="s">
        <v>121</v>
      </c>
      <c r="B686" t="s">
        <v>1493</v>
      </c>
      <c r="C686" t="s">
        <v>61</v>
      </c>
      <c r="D686" t="s">
        <v>65</v>
      </c>
      <c r="E686" t="s">
        <v>32</v>
      </c>
      <c r="F686" t="s">
        <v>17</v>
      </c>
      <c r="G686" t="s">
        <v>47</v>
      </c>
      <c r="H686">
        <v>31</v>
      </c>
      <c r="I686" s="1">
        <v>42755</v>
      </c>
      <c r="J686" s="2">
        <v>124629</v>
      </c>
      <c r="K686" s="3">
        <v>0.1</v>
      </c>
      <c r="L686" t="s">
        <v>19</v>
      </c>
      <c r="M686" t="s">
        <v>29</v>
      </c>
      <c r="N686" s="1" t="s">
        <v>21</v>
      </c>
      <c r="O686" s="1" t="str">
        <f>IF(OR(TBL_Employees[[#This Row],[Exit Date]],FALSE),"Left employees", "Current employees")</f>
        <v>Current employees</v>
      </c>
    </row>
    <row r="687" spans="1:15" x14ac:dyDescent="0.35">
      <c r="A687" t="s">
        <v>1494</v>
      </c>
      <c r="B687" t="s">
        <v>1495</v>
      </c>
      <c r="C687" t="s">
        <v>14</v>
      </c>
      <c r="D687" t="s">
        <v>23</v>
      </c>
      <c r="E687" t="s">
        <v>44</v>
      </c>
      <c r="F687" t="s">
        <v>17</v>
      </c>
      <c r="G687" t="s">
        <v>18</v>
      </c>
      <c r="H687">
        <v>28</v>
      </c>
      <c r="I687" s="1">
        <v>44402</v>
      </c>
      <c r="J687" s="2">
        <v>231850</v>
      </c>
      <c r="K687" s="3">
        <v>0.39</v>
      </c>
      <c r="L687" t="s">
        <v>19</v>
      </c>
      <c r="M687" t="s">
        <v>45</v>
      </c>
      <c r="N687" s="1" t="s">
        <v>21</v>
      </c>
      <c r="O687" s="1" t="str">
        <f>IF(OR(TBL_Employees[[#This Row],[Exit Date]],FALSE),"Left employees", "Current employees")</f>
        <v>Current employees</v>
      </c>
    </row>
    <row r="688" spans="1:15" x14ac:dyDescent="0.35">
      <c r="A688" t="s">
        <v>1496</v>
      </c>
      <c r="B688" t="s">
        <v>1497</v>
      </c>
      <c r="C688" t="s">
        <v>62</v>
      </c>
      <c r="D688" t="s">
        <v>65</v>
      </c>
      <c r="E688" t="s">
        <v>16</v>
      </c>
      <c r="F688" t="s">
        <v>28</v>
      </c>
      <c r="G688" t="s">
        <v>51</v>
      </c>
      <c r="H688">
        <v>34</v>
      </c>
      <c r="I688" s="1">
        <v>43255</v>
      </c>
      <c r="J688" s="2">
        <v>128329</v>
      </c>
      <c r="K688" s="3">
        <v>0.08</v>
      </c>
      <c r="L688" t="s">
        <v>19</v>
      </c>
      <c r="M688" t="s">
        <v>39</v>
      </c>
      <c r="N688" s="1" t="s">
        <v>21</v>
      </c>
      <c r="O688" s="1" t="str">
        <f>IF(OR(TBL_Employees[[#This Row],[Exit Date]],FALSE),"Left employees", "Current employees")</f>
        <v>Current employees</v>
      </c>
    </row>
    <row r="689" spans="1:15" x14ac:dyDescent="0.35">
      <c r="A689" t="s">
        <v>1498</v>
      </c>
      <c r="B689" t="s">
        <v>1499</v>
      </c>
      <c r="C689" t="s">
        <v>14</v>
      </c>
      <c r="D689" t="s">
        <v>43</v>
      </c>
      <c r="E689" t="s">
        <v>44</v>
      </c>
      <c r="F689" t="s">
        <v>28</v>
      </c>
      <c r="G689" t="s">
        <v>51</v>
      </c>
      <c r="H689">
        <v>44</v>
      </c>
      <c r="I689" s="1">
        <v>44283</v>
      </c>
      <c r="J689" s="2">
        <v>186033</v>
      </c>
      <c r="K689" s="3">
        <v>0.34</v>
      </c>
      <c r="L689" t="s">
        <v>52</v>
      </c>
      <c r="M689" t="s">
        <v>53</v>
      </c>
      <c r="N689" s="1" t="s">
        <v>21</v>
      </c>
      <c r="O689" s="1" t="str">
        <f>IF(OR(TBL_Employees[[#This Row],[Exit Date]],FALSE),"Left employees", "Current employees")</f>
        <v>Current employees</v>
      </c>
    </row>
    <row r="690" spans="1:15" x14ac:dyDescent="0.35">
      <c r="A690" t="s">
        <v>1500</v>
      </c>
      <c r="B690" t="s">
        <v>1501</v>
      </c>
      <c r="C690" t="s">
        <v>61</v>
      </c>
      <c r="D690" t="s">
        <v>43</v>
      </c>
      <c r="E690" t="s">
        <v>36</v>
      </c>
      <c r="F690" t="s">
        <v>28</v>
      </c>
      <c r="G690" t="s">
        <v>24</v>
      </c>
      <c r="H690">
        <v>60</v>
      </c>
      <c r="I690" s="1">
        <v>44403</v>
      </c>
      <c r="J690" s="2">
        <v>121480</v>
      </c>
      <c r="K690" s="3">
        <v>0.14000000000000001</v>
      </c>
      <c r="L690" t="s">
        <v>19</v>
      </c>
      <c r="M690" t="s">
        <v>39</v>
      </c>
      <c r="N690" s="1" t="s">
        <v>21</v>
      </c>
      <c r="O690" s="1" t="str">
        <f>IF(OR(TBL_Employees[[#This Row],[Exit Date]],FALSE),"Left employees", "Current employees")</f>
        <v>Current employees</v>
      </c>
    </row>
    <row r="691" spans="1:15" x14ac:dyDescent="0.35">
      <c r="A691" t="s">
        <v>243</v>
      </c>
      <c r="B691" t="s">
        <v>1502</v>
      </c>
      <c r="C691" t="s">
        <v>40</v>
      </c>
      <c r="D691" t="s">
        <v>23</v>
      </c>
      <c r="E691" t="s">
        <v>44</v>
      </c>
      <c r="F691" t="s">
        <v>17</v>
      </c>
      <c r="G691" t="s">
        <v>18</v>
      </c>
      <c r="H691">
        <v>41</v>
      </c>
      <c r="I691" s="1">
        <v>40319</v>
      </c>
      <c r="J691" s="2">
        <v>153275</v>
      </c>
      <c r="K691" s="3">
        <v>0.24</v>
      </c>
      <c r="L691" t="s">
        <v>19</v>
      </c>
      <c r="M691" t="s">
        <v>29</v>
      </c>
      <c r="N691" s="1" t="s">
        <v>21</v>
      </c>
      <c r="O691" s="1" t="str">
        <f>IF(OR(TBL_Employees[[#This Row],[Exit Date]],FALSE),"Left employees", "Current employees")</f>
        <v>Current employees</v>
      </c>
    </row>
    <row r="692" spans="1:15" x14ac:dyDescent="0.35">
      <c r="A692" t="s">
        <v>1503</v>
      </c>
      <c r="B692" t="s">
        <v>191</v>
      </c>
      <c r="C692" t="s">
        <v>42</v>
      </c>
      <c r="D692" t="s">
        <v>50</v>
      </c>
      <c r="E692" t="s">
        <v>16</v>
      </c>
      <c r="F692" t="s">
        <v>17</v>
      </c>
      <c r="G692" t="s">
        <v>24</v>
      </c>
      <c r="H692">
        <v>62</v>
      </c>
      <c r="I692" s="1">
        <v>43969</v>
      </c>
      <c r="J692" s="2">
        <v>97830</v>
      </c>
      <c r="K692" s="3">
        <v>0</v>
      </c>
      <c r="L692" t="s">
        <v>19</v>
      </c>
      <c r="M692" t="s">
        <v>25</v>
      </c>
      <c r="N692" s="1" t="s">
        <v>21</v>
      </c>
      <c r="O692" s="1" t="str">
        <f>IF(OR(TBL_Employees[[#This Row],[Exit Date]],FALSE),"Left employees", "Current employees")</f>
        <v>Current employees</v>
      </c>
    </row>
    <row r="693" spans="1:15" x14ac:dyDescent="0.35">
      <c r="A693" t="s">
        <v>396</v>
      </c>
      <c r="B693" t="s">
        <v>1504</v>
      </c>
      <c r="C693" t="s">
        <v>14</v>
      </c>
      <c r="D693" t="s">
        <v>43</v>
      </c>
      <c r="E693" t="s">
        <v>32</v>
      </c>
      <c r="F693" t="s">
        <v>17</v>
      </c>
      <c r="G693" t="s">
        <v>51</v>
      </c>
      <c r="H693">
        <v>47</v>
      </c>
      <c r="I693" s="1">
        <v>36232</v>
      </c>
      <c r="J693" s="2">
        <v>239394</v>
      </c>
      <c r="K693" s="3">
        <v>0.32</v>
      </c>
      <c r="L693" t="s">
        <v>19</v>
      </c>
      <c r="M693" t="s">
        <v>25</v>
      </c>
      <c r="N693" s="1" t="s">
        <v>21</v>
      </c>
      <c r="O693" s="1" t="str">
        <f>IF(OR(TBL_Employees[[#This Row],[Exit Date]],FALSE),"Left employees", "Current employees")</f>
        <v>Current employees</v>
      </c>
    </row>
    <row r="694" spans="1:15" x14ac:dyDescent="0.35">
      <c r="A694" t="s">
        <v>381</v>
      </c>
      <c r="B694" t="s">
        <v>1505</v>
      </c>
      <c r="C694" t="s">
        <v>68</v>
      </c>
      <c r="D694" t="s">
        <v>15</v>
      </c>
      <c r="E694" t="s">
        <v>44</v>
      </c>
      <c r="F694" t="s">
        <v>17</v>
      </c>
      <c r="G694" t="s">
        <v>24</v>
      </c>
      <c r="H694">
        <v>62</v>
      </c>
      <c r="I694" s="1">
        <v>37519</v>
      </c>
      <c r="J694" s="2">
        <v>49738</v>
      </c>
      <c r="K694" s="3">
        <v>0</v>
      </c>
      <c r="L694" t="s">
        <v>33</v>
      </c>
      <c r="M694" t="s">
        <v>60</v>
      </c>
      <c r="N694" s="1" t="s">
        <v>21</v>
      </c>
      <c r="O694" s="1" t="str">
        <f>IF(OR(TBL_Employees[[#This Row],[Exit Date]],FALSE),"Left employees", "Current employees")</f>
        <v>Current employees</v>
      </c>
    </row>
    <row r="695" spans="1:15" x14ac:dyDescent="0.35">
      <c r="A695" t="s">
        <v>1506</v>
      </c>
      <c r="B695" t="s">
        <v>1507</v>
      </c>
      <c r="C695" t="s">
        <v>68</v>
      </c>
      <c r="D695" t="s">
        <v>65</v>
      </c>
      <c r="E695" t="s">
        <v>36</v>
      </c>
      <c r="F695" t="s">
        <v>17</v>
      </c>
      <c r="G695" t="s">
        <v>51</v>
      </c>
      <c r="H695">
        <v>33</v>
      </c>
      <c r="I695" s="1">
        <v>43247</v>
      </c>
      <c r="J695" s="2">
        <v>45049</v>
      </c>
      <c r="K695" s="3">
        <v>0</v>
      </c>
      <c r="L695" t="s">
        <v>19</v>
      </c>
      <c r="M695" t="s">
        <v>63</v>
      </c>
      <c r="N695" s="1" t="s">
        <v>21</v>
      </c>
      <c r="O695" s="1" t="str">
        <f>IF(OR(TBL_Employees[[#This Row],[Exit Date]],FALSE),"Left employees", "Current employees")</f>
        <v>Current employees</v>
      </c>
    </row>
    <row r="696" spans="1:15" x14ac:dyDescent="0.35">
      <c r="A696" t="s">
        <v>1508</v>
      </c>
      <c r="B696" t="s">
        <v>1509</v>
      </c>
      <c r="C696" t="s">
        <v>40</v>
      </c>
      <c r="D696" t="s">
        <v>15</v>
      </c>
      <c r="E696" t="s">
        <v>16</v>
      </c>
      <c r="F696" t="s">
        <v>17</v>
      </c>
      <c r="G696" t="s">
        <v>24</v>
      </c>
      <c r="H696">
        <v>27</v>
      </c>
      <c r="I696" s="1">
        <v>43977</v>
      </c>
      <c r="J696" s="2">
        <v>153628</v>
      </c>
      <c r="K696" s="3">
        <v>0.28999999999999998</v>
      </c>
      <c r="L696" t="s">
        <v>33</v>
      </c>
      <c r="M696" t="s">
        <v>80</v>
      </c>
      <c r="N696" s="1">
        <v>44177</v>
      </c>
      <c r="O696" s="1" t="str">
        <f>IF(OR(TBL_Employees[[#This Row],[Exit Date]],FALSE),"Left employees", "Current employees")</f>
        <v>Left employees</v>
      </c>
    </row>
    <row r="697" spans="1:15" x14ac:dyDescent="0.35">
      <c r="A697" t="s">
        <v>116</v>
      </c>
      <c r="B697" t="s">
        <v>1510</v>
      </c>
      <c r="C697" t="s">
        <v>61</v>
      </c>
      <c r="D697" t="s">
        <v>50</v>
      </c>
      <c r="E697" t="s">
        <v>36</v>
      </c>
      <c r="F697" t="s">
        <v>28</v>
      </c>
      <c r="G697" t="s">
        <v>24</v>
      </c>
      <c r="H697">
        <v>25</v>
      </c>
      <c r="I697" s="1">
        <v>44362</v>
      </c>
      <c r="J697" s="2">
        <v>142731</v>
      </c>
      <c r="K697" s="3">
        <v>0.11</v>
      </c>
      <c r="L697" t="s">
        <v>33</v>
      </c>
      <c r="M697" t="s">
        <v>74</v>
      </c>
      <c r="N697" s="1">
        <v>44715</v>
      </c>
      <c r="O697" s="1" t="str">
        <f>IF(OR(TBL_Employees[[#This Row],[Exit Date]],FALSE),"Left employees", "Current employees")</f>
        <v>Left employees</v>
      </c>
    </row>
    <row r="698" spans="1:15" x14ac:dyDescent="0.35">
      <c r="A698" t="s">
        <v>126</v>
      </c>
      <c r="B698" t="s">
        <v>1511</v>
      </c>
      <c r="C698" t="s">
        <v>61</v>
      </c>
      <c r="D698" t="s">
        <v>43</v>
      </c>
      <c r="E698" t="s">
        <v>44</v>
      </c>
      <c r="F698" t="s">
        <v>17</v>
      </c>
      <c r="G698" t="s">
        <v>51</v>
      </c>
      <c r="H698">
        <v>29</v>
      </c>
      <c r="I698" s="1">
        <v>43966</v>
      </c>
      <c r="J698" s="2">
        <v>137106</v>
      </c>
      <c r="K698" s="3">
        <v>0.12</v>
      </c>
      <c r="L698" t="s">
        <v>52</v>
      </c>
      <c r="M698" t="s">
        <v>53</v>
      </c>
      <c r="N698" s="1" t="s">
        <v>21</v>
      </c>
      <c r="O698" s="1" t="str">
        <f>IF(OR(TBL_Employees[[#This Row],[Exit Date]],FALSE),"Left employees", "Current employees")</f>
        <v>Current employees</v>
      </c>
    </row>
    <row r="699" spans="1:15" x14ac:dyDescent="0.35">
      <c r="A699" t="s">
        <v>555</v>
      </c>
      <c r="B699" t="s">
        <v>1512</v>
      </c>
      <c r="C699" t="s">
        <v>14</v>
      </c>
      <c r="D699" t="s">
        <v>15</v>
      </c>
      <c r="E699" t="s">
        <v>32</v>
      </c>
      <c r="F699" t="s">
        <v>17</v>
      </c>
      <c r="G699" t="s">
        <v>24</v>
      </c>
      <c r="H699">
        <v>54</v>
      </c>
      <c r="I699" s="1">
        <v>39330</v>
      </c>
      <c r="J699" s="2">
        <v>183239</v>
      </c>
      <c r="K699" s="3">
        <v>0.32</v>
      </c>
      <c r="L699" t="s">
        <v>19</v>
      </c>
      <c r="M699" t="s">
        <v>63</v>
      </c>
      <c r="N699" s="1" t="s">
        <v>21</v>
      </c>
      <c r="O699" s="1" t="str">
        <f>IF(OR(TBL_Employees[[#This Row],[Exit Date]],FALSE),"Left employees", "Current employees")</f>
        <v>Current employees</v>
      </c>
    </row>
    <row r="700" spans="1:15" x14ac:dyDescent="0.35">
      <c r="A700" t="s">
        <v>1173</v>
      </c>
      <c r="B700" t="s">
        <v>1513</v>
      </c>
      <c r="C700" t="s">
        <v>68</v>
      </c>
      <c r="D700" t="s">
        <v>65</v>
      </c>
      <c r="E700" t="s">
        <v>36</v>
      </c>
      <c r="F700" t="s">
        <v>17</v>
      </c>
      <c r="G700" t="s">
        <v>18</v>
      </c>
      <c r="H700">
        <v>28</v>
      </c>
      <c r="I700" s="1">
        <v>43610</v>
      </c>
      <c r="J700" s="2">
        <v>45819</v>
      </c>
      <c r="K700" s="3">
        <v>0</v>
      </c>
      <c r="L700" t="s">
        <v>19</v>
      </c>
      <c r="M700" t="s">
        <v>45</v>
      </c>
      <c r="N700" s="1" t="s">
        <v>21</v>
      </c>
      <c r="O700" s="1" t="str">
        <f>IF(OR(TBL_Employees[[#This Row],[Exit Date]],FALSE),"Left employees", "Current employees")</f>
        <v>Current employees</v>
      </c>
    </row>
    <row r="701" spans="1:15" x14ac:dyDescent="0.35">
      <c r="A701" t="s">
        <v>1514</v>
      </c>
      <c r="B701" t="s">
        <v>1515</v>
      </c>
      <c r="C701" t="s">
        <v>68</v>
      </c>
      <c r="D701" t="s">
        <v>65</v>
      </c>
      <c r="E701" t="s">
        <v>16</v>
      </c>
      <c r="F701" t="s">
        <v>17</v>
      </c>
      <c r="G701" t="s">
        <v>24</v>
      </c>
      <c r="H701">
        <v>54</v>
      </c>
      <c r="I701" s="1">
        <v>39080</v>
      </c>
      <c r="J701" s="2">
        <v>55518</v>
      </c>
      <c r="K701" s="3">
        <v>0</v>
      </c>
      <c r="L701" t="s">
        <v>19</v>
      </c>
      <c r="M701" t="s">
        <v>29</v>
      </c>
      <c r="N701" s="1" t="s">
        <v>21</v>
      </c>
      <c r="O701" s="1" t="str">
        <f>IF(OR(TBL_Employees[[#This Row],[Exit Date]],FALSE),"Left employees", "Current employees")</f>
        <v>Current employees</v>
      </c>
    </row>
    <row r="702" spans="1:15" x14ac:dyDescent="0.35">
      <c r="A702" t="s">
        <v>1516</v>
      </c>
      <c r="B702" t="s">
        <v>1517</v>
      </c>
      <c r="C702" t="s">
        <v>62</v>
      </c>
      <c r="D702" t="s">
        <v>43</v>
      </c>
      <c r="E702" t="s">
        <v>36</v>
      </c>
      <c r="F702" t="s">
        <v>17</v>
      </c>
      <c r="G702" t="s">
        <v>24</v>
      </c>
      <c r="H702">
        <v>50</v>
      </c>
      <c r="I702" s="1">
        <v>40979</v>
      </c>
      <c r="J702" s="2">
        <v>108134</v>
      </c>
      <c r="K702" s="3">
        <v>0.1</v>
      </c>
      <c r="L702" t="s">
        <v>33</v>
      </c>
      <c r="M702" t="s">
        <v>74</v>
      </c>
      <c r="N702" s="1" t="s">
        <v>21</v>
      </c>
      <c r="O702" s="1" t="str">
        <f>IF(OR(TBL_Employees[[#This Row],[Exit Date]],FALSE),"Left employees", "Current employees")</f>
        <v>Current employees</v>
      </c>
    </row>
    <row r="703" spans="1:15" x14ac:dyDescent="0.35">
      <c r="A703" t="s">
        <v>1518</v>
      </c>
      <c r="B703" t="s">
        <v>262</v>
      </c>
      <c r="C703" t="s">
        <v>62</v>
      </c>
      <c r="D703" t="s">
        <v>43</v>
      </c>
      <c r="E703" t="s">
        <v>16</v>
      </c>
      <c r="F703" t="s">
        <v>17</v>
      </c>
      <c r="G703" t="s">
        <v>47</v>
      </c>
      <c r="H703">
        <v>55</v>
      </c>
      <c r="I703" s="1">
        <v>33958</v>
      </c>
      <c r="J703" s="2">
        <v>113950</v>
      </c>
      <c r="K703" s="3">
        <v>0.09</v>
      </c>
      <c r="L703" t="s">
        <v>19</v>
      </c>
      <c r="M703" t="s">
        <v>45</v>
      </c>
      <c r="N703" s="1" t="s">
        <v>21</v>
      </c>
      <c r="O703" s="1" t="str">
        <f>IF(OR(TBL_Employees[[#This Row],[Exit Date]],FALSE),"Left employees", "Current employees")</f>
        <v>Current employees</v>
      </c>
    </row>
    <row r="704" spans="1:15" x14ac:dyDescent="0.35">
      <c r="A704" t="s">
        <v>1213</v>
      </c>
      <c r="B704" t="s">
        <v>1519</v>
      </c>
      <c r="C704" t="s">
        <v>14</v>
      </c>
      <c r="D704" t="s">
        <v>43</v>
      </c>
      <c r="E704" t="s">
        <v>44</v>
      </c>
      <c r="F704" t="s">
        <v>17</v>
      </c>
      <c r="G704" t="s">
        <v>24</v>
      </c>
      <c r="H704">
        <v>52</v>
      </c>
      <c r="I704" s="1">
        <v>35886</v>
      </c>
      <c r="J704" s="2">
        <v>182035</v>
      </c>
      <c r="K704" s="3">
        <v>0.3</v>
      </c>
      <c r="L704" t="s">
        <v>19</v>
      </c>
      <c r="M704" t="s">
        <v>20</v>
      </c>
      <c r="N704" s="1" t="s">
        <v>21</v>
      </c>
      <c r="O704" s="1" t="str">
        <f>IF(OR(TBL_Employees[[#This Row],[Exit Date]],FALSE),"Left employees", "Current employees")</f>
        <v>Current employees</v>
      </c>
    </row>
    <row r="705" spans="1:15" x14ac:dyDescent="0.35">
      <c r="A705" t="s">
        <v>519</v>
      </c>
      <c r="B705" t="s">
        <v>1520</v>
      </c>
      <c r="C705" t="s">
        <v>40</v>
      </c>
      <c r="D705" t="s">
        <v>65</v>
      </c>
      <c r="E705" t="s">
        <v>44</v>
      </c>
      <c r="F705" t="s">
        <v>28</v>
      </c>
      <c r="G705" t="s">
        <v>24</v>
      </c>
      <c r="H705">
        <v>35</v>
      </c>
      <c r="I705" s="1">
        <v>42963</v>
      </c>
      <c r="J705" s="2">
        <v>181356</v>
      </c>
      <c r="K705" s="3">
        <v>0.23</v>
      </c>
      <c r="L705" t="s">
        <v>33</v>
      </c>
      <c r="M705" t="s">
        <v>60</v>
      </c>
      <c r="N705" s="1" t="s">
        <v>21</v>
      </c>
      <c r="O705" s="1" t="str">
        <f>IF(OR(TBL_Employees[[#This Row],[Exit Date]],FALSE),"Left employees", "Current employees")</f>
        <v>Current employees</v>
      </c>
    </row>
    <row r="706" spans="1:15" x14ac:dyDescent="0.35">
      <c r="A706" t="s">
        <v>1521</v>
      </c>
      <c r="B706" t="s">
        <v>1522</v>
      </c>
      <c r="C706" t="s">
        <v>94</v>
      </c>
      <c r="D706" t="s">
        <v>50</v>
      </c>
      <c r="E706" t="s">
        <v>32</v>
      </c>
      <c r="F706" t="s">
        <v>17</v>
      </c>
      <c r="G706" t="s">
        <v>47</v>
      </c>
      <c r="H706">
        <v>26</v>
      </c>
      <c r="I706" s="1">
        <v>43698</v>
      </c>
      <c r="J706" s="2">
        <v>66084</v>
      </c>
      <c r="K706" s="3">
        <v>0</v>
      </c>
      <c r="L706" t="s">
        <v>19</v>
      </c>
      <c r="M706" t="s">
        <v>63</v>
      </c>
      <c r="N706" s="1" t="s">
        <v>21</v>
      </c>
      <c r="O706" s="1" t="str">
        <f>IF(OR(TBL_Employees[[#This Row],[Exit Date]],FALSE),"Left employees", "Current employees")</f>
        <v>Current employees</v>
      </c>
    </row>
    <row r="707" spans="1:15" x14ac:dyDescent="0.35">
      <c r="A707" t="s">
        <v>1523</v>
      </c>
      <c r="B707" t="s">
        <v>306</v>
      </c>
      <c r="C707" t="s">
        <v>88</v>
      </c>
      <c r="D707" t="s">
        <v>27</v>
      </c>
      <c r="E707" t="s">
        <v>44</v>
      </c>
      <c r="F707" t="s">
        <v>17</v>
      </c>
      <c r="G707" t="s">
        <v>51</v>
      </c>
      <c r="H707">
        <v>43</v>
      </c>
      <c r="I707" s="1">
        <v>40290</v>
      </c>
      <c r="J707" s="2">
        <v>76912</v>
      </c>
      <c r="K707" s="3">
        <v>0</v>
      </c>
      <c r="L707" t="s">
        <v>52</v>
      </c>
      <c r="M707" t="s">
        <v>53</v>
      </c>
      <c r="N707" s="1" t="s">
        <v>21</v>
      </c>
      <c r="O707" s="1" t="str">
        <f>IF(OR(TBL_Employees[[#This Row],[Exit Date]],FALSE),"Left employees", "Current employees")</f>
        <v>Current employees</v>
      </c>
    </row>
    <row r="708" spans="1:15" x14ac:dyDescent="0.35">
      <c r="A708" t="s">
        <v>343</v>
      </c>
      <c r="B708" t="s">
        <v>1524</v>
      </c>
      <c r="C708" t="s">
        <v>58</v>
      </c>
      <c r="D708" t="s">
        <v>31</v>
      </c>
      <c r="E708" t="s">
        <v>16</v>
      </c>
      <c r="F708" t="s">
        <v>17</v>
      </c>
      <c r="G708" t="s">
        <v>24</v>
      </c>
      <c r="H708">
        <v>63</v>
      </c>
      <c r="I708" s="1">
        <v>43227</v>
      </c>
      <c r="J708" s="2">
        <v>67987</v>
      </c>
      <c r="K708" s="3">
        <v>0</v>
      </c>
      <c r="L708" t="s">
        <v>19</v>
      </c>
      <c r="M708" t="s">
        <v>45</v>
      </c>
      <c r="N708" s="1" t="s">
        <v>21</v>
      </c>
      <c r="O708" s="1" t="str">
        <f>IF(OR(TBL_Employees[[#This Row],[Exit Date]],FALSE),"Left employees", "Current employees")</f>
        <v>Current employees</v>
      </c>
    </row>
    <row r="709" spans="1:15" x14ac:dyDescent="0.35">
      <c r="A709" t="s">
        <v>1525</v>
      </c>
      <c r="B709" t="s">
        <v>1526</v>
      </c>
      <c r="C709" t="s">
        <v>64</v>
      </c>
      <c r="D709" t="s">
        <v>43</v>
      </c>
      <c r="E709" t="s">
        <v>36</v>
      </c>
      <c r="F709" t="s">
        <v>28</v>
      </c>
      <c r="G709" t="s">
        <v>18</v>
      </c>
      <c r="H709">
        <v>65</v>
      </c>
      <c r="I709" s="1">
        <v>38584</v>
      </c>
      <c r="J709" s="2">
        <v>59833</v>
      </c>
      <c r="K709" s="3">
        <v>0</v>
      </c>
      <c r="L709" t="s">
        <v>19</v>
      </c>
      <c r="M709" t="s">
        <v>29</v>
      </c>
      <c r="N709" s="1" t="s">
        <v>21</v>
      </c>
      <c r="O709" s="1" t="str">
        <f>IF(OR(TBL_Employees[[#This Row],[Exit Date]],FALSE),"Left employees", "Current employees")</f>
        <v>Current employees</v>
      </c>
    </row>
    <row r="710" spans="1:15" x14ac:dyDescent="0.35">
      <c r="A710" t="s">
        <v>1527</v>
      </c>
      <c r="B710" t="s">
        <v>1528</v>
      </c>
      <c r="C710" t="s">
        <v>61</v>
      </c>
      <c r="D710" t="s">
        <v>43</v>
      </c>
      <c r="E710" t="s">
        <v>44</v>
      </c>
      <c r="F710" t="s">
        <v>28</v>
      </c>
      <c r="G710" t="s">
        <v>24</v>
      </c>
      <c r="H710">
        <v>45</v>
      </c>
      <c r="I710" s="1">
        <v>38453</v>
      </c>
      <c r="J710" s="2">
        <v>128468</v>
      </c>
      <c r="K710" s="3">
        <v>0.11</v>
      </c>
      <c r="L710" t="s">
        <v>19</v>
      </c>
      <c r="M710" t="s">
        <v>20</v>
      </c>
      <c r="N710" s="1" t="s">
        <v>21</v>
      </c>
      <c r="O710" s="1" t="str">
        <f>IF(OR(TBL_Employees[[#This Row],[Exit Date]],FALSE),"Left employees", "Current employees")</f>
        <v>Current employees</v>
      </c>
    </row>
    <row r="711" spans="1:15" x14ac:dyDescent="0.35">
      <c r="A711" t="s">
        <v>826</v>
      </c>
      <c r="B711" t="s">
        <v>1529</v>
      </c>
      <c r="C711" t="s">
        <v>62</v>
      </c>
      <c r="D711" t="s">
        <v>50</v>
      </c>
      <c r="E711" t="s">
        <v>32</v>
      </c>
      <c r="F711" t="s">
        <v>28</v>
      </c>
      <c r="G711" t="s">
        <v>47</v>
      </c>
      <c r="H711">
        <v>42</v>
      </c>
      <c r="I711" s="1">
        <v>40692</v>
      </c>
      <c r="J711" s="2">
        <v>102440</v>
      </c>
      <c r="K711" s="3">
        <v>0.06</v>
      </c>
      <c r="L711" t="s">
        <v>19</v>
      </c>
      <c r="M711" t="s">
        <v>20</v>
      </c>
      <c r="N711" s="1" t="s">
        <v>21</v>
      </c>
      <c r="O711" s="1" t="str">
        <f>IF(OR(TBL_Employees[[#This Row],[Exit Date]],FALSE),"Left employees", "Current employees")</f>
        <v>Current employees</v>
      </c>
    </row>
    <row r="712" spans="1:15" x14ac:dyDescent="0.35">
      <c r="A712" t="s">
        <v>390</v>
      </c>
      <c r="B712" t="s">
        <v>1530</v>
      </c>
      <c r="C712" t="s">
        <v>14</v>
      </c>
      <c r="D712" t="s">
        <v>27</v>
      </c>
      <c r="E712" t="s">
        <v>44</v>
      </c>
      <c r="F712" t="s">
        <v>28</v>
      </c>
      <c r="G712" t="s">
        <v>47</v>
      </c>
      <c r="H712">
        <v>59</v>
      </c>
      <c r="I712" s="1">
        <v>40542</v>
      </c>
      <c r="J712" s="2">
        <v>246619</v>
      </c>
      <c r="K712" s="3">
        <v>0.36</v>
      </c>
      <c r="L712" t="s">
        <v>19</v>
      </c>
      <c r="M712" t="s">
        <v>45</v>
      </c>
      <c r="N712" s="1" t="s">
        <v>21</v>
      </c>
      <c r="O712" s="1" t="str">
        <f>IF(OR(TBL_Employees[[#This Row],[Exit Date]],FALSE),"Left employees", "Current employees")</f>
        <v>Current employees</v>
      </c>
    </row>
    <row r="713" spans="1:15" x14ac:dyDescent="0.35">
      <c r="A713" t="s">
        <v>1531</v>
      </c>
      <c r="B713" t="s">
        <v>318</v>
      </c>
      <c r="C713" t="s">
        <v>62</v>
      </c>
      <c r="D713" t="s">
        <v>23</v>
      </c>
      <c r="E713" t="s">
        <v>32</v>
      </c>
      <c r="F713" t="s">
        <v>17</v>
      </c>
      <c r="G713" t="s">
        <v>51</v>
      </c>
      <c r="H713">
        <v>42</v>
      </c>
      <c r="I713" s="1">
        <v>43058</v>
      </c>
      <c r="J713" s="2">
        <v>101143</v>
      </c>
      <c r="K713" s="3">
        <v>0.06</v>
      </c>
      <c r="L713" t="s">
        <v>19</v>
      </c>
      <c r="M713" t="s">
        <v>45</v>
      </c>
      <c r="N713" s="1" t="s">
        <v>21</v>
      </c>
      <c r="O713" s="1" t="str">
        <f>IF(OR(TBL_Employees[[#This Row],[Exit Date]],FALSE),"Left employees", "Current employees")</f>
        <v>Current employees</v>
      </c>
    </row>
    <row r="714" spans="1:15" x14ac:dyDescent="0.35">
      <c r="A714" t="s">
        <v>1532</v>
      </c>
      <c r="B714" t="s">
        <v>1533</v>
      </c>
      <c r="C714" t="s">
        <v>83</v>
      </c>
      <c r="D714" t="s">
        <v>23</v>
      </c>
      <c r="E714" t="s">
        <v>36</v>
      </c>
      <c r="F714" t="s">
        <v>17</v>
      </c>
      <c r="G714" t="s">
        <v>51</v>
      </c>
      <c r="H714">
        <v>45</v>
      </c>
      <c r="I714" s="1">
        <v>38639</v>
      </c>
      <c r="J714" s="2">
        <v>51404</v>
      </c>
      <c r="K714" s="3">
        <v>0</v>
      </c>
      <c r="L714" t="s">
        <v>52</v>
      </c>
      <c r="M714" t="s">
        <v>81</v>
      </c>
      <c r="N714" s="1">
        <v>40153</v>
      </c>
      <c r="O714" s="1" t="str">
        <f>IF(OR(TBL_Employees[[#This Row],[Exit Date]],FALSE),"Left employees", "Current employees")</f>
        <v>Left employees</v>
      </c>
    </row>
    <row r="715" spans="1:15" x14ac:dyDescent="0.35">
      <c r="A715" t="s">
        <v>1534</v>
      </c>
      <c r="B715" t="s">
        <v>1535</v>
      </c>
      <c r="C715" t="s">
        <v>129</v>
      </c>
      <c r="D715" t="s">
        <v>31</v>
      </c>
      <c r="E715" t="s">
        <v>44</v>
      </c>
      <c r="F715" t="s">
        <v>28</v>
      </c>
      <c r="G715" t="s">
        <v>18</v>
      </c>
      <c r="H715">
        <v>45</v>
      </c>
      <c r="I715" s="1">
        <v>42329</v>
      </c>
      <c r="J715" s="2">
        <v>87292</v>
      </c>
      <c r="K715" s="3">
        <v>0</v>
      </c>
      <c r="L715" t="s">
        <v>19</v>
      </c>
      <c r="M715" t="s">
        <v>29</v>
      </c>
      <c r="N715" s="1" t="s">
        <v>21</v>
      </c>
      <c r="O715" s="1" t="str">
        <f>IF(OR(TBL_Employees[[#This Row],[Exit Date]],FALSE),"Left employees", "Current employees")</f>
        <v>Current employees</v>
      </c>
    </row>
    <row r="716" spans="1:15" x14ac:dyDescent="0.35">
      <c r="A716" t="s">
        <v>1536</v>
      </c>
      <c r="B716" t="s">
        <v>1537</v>
      </c>
      <c r="C716" t="s">
        <v>40</v>
      </c>
      <c r="D716" t="s">
        <v>43</v>
      </c>
      <c r="E716" t="s">
        <v>44</v>
      </c>
      <c r="F716" t="s">
        <v>17</v>
      </c>
      <c r="G716" t="s">
        <v>24</v>
      </c>
      <c r="H716">
        <v>28</v>
      </c>
      <c r="I716" s="1">
        <v>43810</v>
      </c>
      <c r="J716" s="2">
        <v>182321</v>
      </c>
      <c r="K716" s="3">
        <v>0.28000000000000003</v>
      </c>
      <c r="L716" t="s">
        <v>33</v>
      </c>
      <c r="M716" t="s">
        <v>60</v>
      </c>
      <c r="N716" s="1" t="s">
        <v>21</v>
      </c>
      <c r="O716" s="1" t="str">
        <f>IF(OR(TBL_Employees[[#This Row],[Exit Date]],FALSE),"Left employees", "Current employees")</f>
        <v>Current employees</v>
      </c>
    </row>
    <row r="717" spans="1:15" x14ac:dyDescent="0.35">
      <c r="A717" t="s">
        <v>121</v>
      </c>
      <c r="B717" t="s">
        <v>1538</v>
      </c>
      <c r="C717" t="s">
        <v>76</v>
      </c>
      <c r="D717" t="s">
        <v>27</v>
      </c>
      <c r="E717" t="s">
        <v>32</v>
      </c>
      <c r="F717" t="s">
        <v>28</v>
      </c>
      <c r="G717" t="s">
        <v>18</v>
      </c>
      <c r="H717">
        <v>51</v>
      </c>
      <c r="I717" s="1">
        <v>41697</v>
      </c>
      <c r="J717" s="2">
        <v>53929</v>
      </c>
      <c r="K717" s="3">
        <v>0</v>
      </c>
      <c r="L717" t="s">
        <v>19</v>
      </c>
      <c r="M717" t="s">
        <v>45</v>
      </c>
      <c r="N717" s="1">
        <v>43091</v>
      </c>
      <c r="O717" s="1" t="str">
        <f>IF(OR(TBL_Employees[[#This Row],[Exit Date]],FALSE),"Left employees", "Current employees")</f>
        <v>Left employees</v>
      </c>
    </row>
    <row r="718" spans="1:15" x14ac:dyDescent="0.35">
      <c r="A718" t="s">
        <v>1539</v>
      </c>
      <c r="B718" t="s">
        <v>1540</v>
      </c>
      <c r="C718" t="s">
        <v>14</v>
      </c>
      <c r="D718" t="s">
        <v>65</v>
      </c>
      <c r="E718" t="s">
        <v>36</v>
      </c>
      <c r="F718" t="s">
        <v>17</v>
      </c>
      <c r="G718" t="s">
        <v>24</v>
      </c>
      <c r="H718">
        <v>38</v>
      </c>
      <c r="I718" s="1">
        <v>41256</v>
      </c>
      <c r="J718" s="2">
        <v>191571</v>
      </c>
      <c r="K718" s="3">
        <v>0.32</v>
      </c>
      <c r="L718" t="s">
        <v>19</v>
      </c>
      <c r="M718" t="s">
        <v>25</v>
      </c>
      <c r="N718" s="1" t="s">
        <v>21</v>
      </c>
      <c r="O718" s="1" t="str">
        <f>IF(OR(TBL_Employees[[#This Row],[Exit Date]],FALSE),"Left employees", "Current employees")</f>
        <v>Current employees</v>
      </c>
    </row>
    <row r="719" spans="1:15" x14ac:dyDescent="0.35">
      <c r="A719" t="s">
        <v>112</v>
      </c>
      <c r="B719" t="s">
        <v>1541</v>
      </c>
      <c r="C719" t="s">
        <v>61</v>
      </c>
      <c r="D719" t="s">
        <v>65</v>
      </c>
      <c r="E719" t="s">
        <v>32</v>
      </c>
      <c r="F719" t="s">
        <v>17</v>
      </c>
      <c r="G719" t="s">
        <v>18</v>
      </c>
      <c r="H719">
        <v>62</v>
      </c>
      <c r="I719" s="1">
        <v>39843</v>
      </c>
      <c r="J719" s="2">
        <v>150555</v>
      </c>
      <c r="K719" s="3">
        <v>0.13</v>
      </c>
      <c r="L719" t="s">
        <v>19</v>
      </c>
      <c r="M719" t="s">
        <v>39</v>
      </c>
      <c r="N719" s="1" t="s">
        <v>21</v>
      </c>
      <c r="O719" s="1" t="str">
        <f>IF(OR(TBL_Employees[[#This Row],[Exit Date]],FALSE),"Left employees", "Current employees")</f>
        <v>Current employees</v>
      </c>
    </row>
    <row r="720" spans="1:15" x14ac:dyDescent="0.35">
      <c r="A720" t="s">
        <v>246</v>
      </c>
      <c r="B720" t="s">
        <v>1542</v>
      </c>
      <c r="C720" t="s">
        <v>62</v>
      </c>
      <c r="D720" t="s">
        <v>15</v>
      </c>
      <c r="E720" t="s">
        <v>32</v>
      </c>
      <c r="F720" t="s">
        <v>28</v>
      </c>
      <c r="G720" t="s">
        <v>24</v>
      </c>
      <c r="H720">
        <v>52</v>
      </c>
      <c r="I720" s="1">
        <v>40091</v>
      </c>
      <c r="J720" s="2">
        <v>122890</v>
      </c>
      <c r="K720" s="3">
        <v>7.0000000000000007E-2</v>
      </c>
      <c r="L720" t="s">
        <v>33</v>
      </c>
      <c r="M720" t="s">
        <v>74</v>
      </c>
      <c r="N720" s="1" t="s">
        <v>21</v>
      </c>
      <c r="O720" s="1" t="str">
        <f>IF(OR(TBL_Employees[[#This Row],[Exit Date]],FALSE),"Left employees", "Current employees")</f>
        <v>Current employees</v>
      </c>
    </row>
    <row r="721" spans="1:15" x14ac:dyDescent="0.35">
      <c r="A721" t="s">
        <v>1543</v>
      </c>
      <c r="B721" t="s">
        <v>1544</v>
      </c>
      <c r="C721" t="s">
        <v>14</v>
      </c>
      <c r="D721" t="s">
        <v>15</v>
      </c>
      <c r="E721" t="s">
        <v>16</v>
      </c>
      <c r="F721" t="s">
        <v>28</v>
      </c>
      <c r="G721" t="s">
        <v>24</v>
      </c>
      <c r="H721">
        <v>52</v>
      </c>
      <c r="I721" s="1">
        <v>35576</v>
      </c>
      <c r="J721" s="2">
        <v>216999</v>
      </c>
      <c r="K721" s="3">
        <v>0.37</v>
      </c>
      <c r="L721" t="s">
        <v>19</v>
      </c>
      <c r="M721" t="s">
        <v>45</v>
      </c>
      <c r="N721" s="1" t="s">
        <v>21</v>
      </c>
      <c r="O721" s="1" t="str">
        <f>IF(OR(TBL_Employees[[#This Row],[Exit Date]],FALSE),"Left employees", "Current employees")</f>
        <v>Current employees</v>
      </c>
    </row>
    <row r="722" spans="1:15" x14ac:dyDescent="0.35">
      <c r="A722" t="s">
        <v>1545</v>
      </c>
      <c r="B722" t="s">
        <v>1546</v>
      </c>
      <c r="C722" t="s">
        <v>62</v>
      </c>
      <c r="D722" t="s">
        <v>23</v>
      </c>
      <c r="E722" t="s">
        <v>32</v>
      </c>
      <c r="F722" t="s">
        <v>28</v>
      </c>
      <c r="G722" t="s">
        <v>24</v>
      </c>
      <c r="H722">
        <v>48</v>
      </c>
      <c r="I722" s="1">
        <v>42201</v>
      </c>
      <c r="J722" s="2">
        <v>110565</v>
      </c>
      <c r="K722" s="3">
        <v>0.09</v>
      </c>
      <c r="L722" t="s">
        <v>33</v>
      </c>
      <c r="M722" t="s">
        <v>60</v>
      </c>
      <c r="N722" s="1" t="s">
        <v>21</v>
      </c>
      <c r="O722" s="1" t="str">
        <f>IF(OR(TBL_Employees[[#This Row],[Exit Date]],FALSE),"Left employees", "Current employees")</f>
        <v>Current employees</v>
      </c>
    </row>
    <row r="723" spans="1:15" x14ac:dyDescent="0.35">
      <c r="A723" t="s">
        <v>307</v>
      </c>
      <c r="B723" t="s">
        <v>1547</v>
      </c>
      <c r="C723" t="s">
        <v>73</v>
      </c>
      <c r="D723" t="s">
        <v>27</v>
      </c>
      <c r="E723" t="s">
        <v>44</v>
      </c>
      <c r="F723" t="s">
        <v>28</v>
      </c>
      <c r="G723" t="s">
        <v>18</v>
      </c>
      <c r="H723">
        <v>38</v>
      </c>
      <c r="I723" s="1">
        <v>42113</v>
      </c>
      <c r="J723" s="2">
        <v>48762</v>
      </c>
      <c r="K723" s="3">
        <v>0</v>
      </c>
      <c r="L723" t="s">
        <v>19</v>
      </c>
      <c r="M723" t="s">
        <v>63</v>
      </c>
      <c r="N723" s="1" t="s">
        <v>21</v>
      </c>
      <c r="O723" s="1" t="str">
        <f>IF(OR(TBL_Employees[[#This Row],[Exit Date]],FALSE),"Left employees", "Current employees")</f>
        <v>Current employees</v>
      </c>
    </row>
    <row r="724" spans="1:15" x14ac:dyDescent="0.35">
      <c r="A724" t="s">
        <v>1548</v>
      </c>
      <c r="B724" t="s">
        <v>1549</v>
      </c>
      <c r="C724" t="s">
        <v>86</v>
      </c>
      <c r="D724" t="s">
        <v>31</v>
      </c>
      <c r="E724" t="s">
        <v>44</v>
      </c>
      <c r="F724" t="s">
        <v>17</v>
      </c>
      <c r="G724" t="s">
        <v>24</v>
      </c>
      <c r="H724">
        <v>51</v>
      </c>
      <c r="I724" s="1">
        <v>42777</v>
      </c>
      <c r="J724" s="2">
        <v>87036</v>
      </c>
      <c r="K724" s="3">
        <v>0</v>
      </c>
      <c r="L724" t="s">
        <v>33</v>
      </c>
      <c r="M724" t="s">
        <v>80</v>
      </c>
      <c r="N724" s="1" t="s">
        <v>21</v>
      </c>
      <c r="O724" s="1" t="str">
        <f>IF(OR(TBL_Employees[[#This Row],[Exit Date]],FALSE),"Left employees", "Current employees")</f>
        <v>Current employees</v>
      </c>
    </row>
    <row r="725" spans="1:15" x14ac:dyDescent="0.35">
      <c r="A725" t="s">
        <v>239</v>
      </c>
      <c r="B725" t="s">
        <v>1550</v>
      </c>
      <c r="C725" t="s">
        <v>40</v>
      </c>
      <c r="D725" t="s">
        <v>43</v>
      </c>
      <c r="E725" t="s">
        <v>44</v>
      </c>
      <c r="F725" t="s">
        <v>28</v>
      </c>
      <c r="G725" t="s">
        <v>18</v>
      </c>
      <c r="H725">
        <v>32</v>
      </c>
      <c r="I725" s="1">
        <v>42702</v>
      </c>
      <c r="J725" s="2">
        <v>177443</v>
      </c>
      <c r="K725" s="3">
        <v>0.16</v>
      </c>
      <c r="L725" t="s">
        <v>19</v>
      </c>
      <c r="M725" t="s">
        <v>63</v>
      </c>
      <c r="N725" s="1" t="s">
        <v>21</v>
      </c>
      <c r="O725" s="1" t="str">
        <f>IF(OR(TBL_Employees[[#This Row],[Exit Date]],FALSE),"Left employees", "Current employees")</f>
        <v>Current employees</v>
      </c>
    </row>
    <row r="726" spans="1:15" x14ac:dyDescent="0.35">
      <c r="A726" t="s">
        <v>247</v>
      </c>
      <c r="B726" t="s">
        <v>1551</v>
      </c>
      <c r="C726" t="s">
        <v>26</v>
      </c>
      <c r="D726" t="s">
        <v>27</v>
      </c>
      <c r="E726" t="s">
        <v>16</v>
      </c>
      <c r="F726" t="s">
        <v>17</v>
      </c>
      <c r="G726" t="s">
        <v>24</v>
      </c>
      <c r="H726">
        <v>36</v>
      </c>
      <c r="I726" s="1">
        <v>42489</v>
      </c>
      <c r="J726" s="2">
        <v>75862</v>
      </c>
      <c r="K726" s="3">
        <v>0</v>
      </c>
      <c r="L726" t="s">
        <v>19</v>
      </c>
      <c r="M726" t="s">
        <v>25</v>
      </c>
      <c r="N726" s="1" t="s">
        <v>21</v>
      </c>
      <c r="O726" s="1" t="str">
        <f>IF(OR(TBL_Employees[[#This Row],[Exit Date]],FALSE),"Left employees", "Current employees")</f>
        <v>Current employees</v>
      </c>
    </row>
    <row r="727" spans="1:15" x14ac:dyDescent="0.35">
      <c r="A727" t="s">
        <v>1552</v>
      </c>
      <c r="B727" t="s">
        <v>1553</v>
      </c>
      <c r="C727" t="s">
        <v>77</v>
      </c>
      <c r="D727" t="s">
        <v>23</v>
      </c>
      <c r="E727" t="s">
        <v>16</v>
      </c>
      <c r="F727" t="s">
        <v>17</v>
      </c>
      <c r="G727" t="s">
        <v>24</v>
      </c>
      <c r="H727">
        <v>45</v>
      </c>
      <c r="I727" s="1">
        <v>43581</v>
      </c>
      <c r="J727" s="2">
        <v>90870</v>
      </c>
      <c r="K727" s="3">
        <v>0</v>
      </c>
      <c r="L727" t="s">
        <v>19</v>
      </c>
      <c r="M727" t="s">
        <v>20</v>
      </c>
      <c r="N727" s="1" t="s">
        <v>21</v>
      </c>
      <c r="O727" s="1" t="str">
        <f>IF(OR(TBL_Employees[[#This Row],[Exit Date]],FALSE),"Left employees", "Current employees")</f>
        <v>Current employees</v>
      </c>
    </row>
    <row r="728" spans="1:15" x14ac:dyDescent="0.35">
      <c r="A728" t="s">
        <v>1554</v>
      </c>
      <c r="B728" t="s">
        <v>1555</v>
      </c>
      <c r="C728" t="s">
        <v>97</v>
      </c>
      <c r="D728" t="s">
        <v>31</v>
      </c>
      <c r="E728" t="s">
        <v>32</v>
      </c>
      <c r="F728" t="s">
        <v>17</v>
      </c>
      <c r="G728" t="s">
        <v>24</v>
      </c>
      <c r="H728">
        <v>32</v>
      </c>
      <c r="I728" s="1">
        <v>41977</v>
      </c>
      <c r="J728" s="2">
        <v>99202</v>
      </c>
      <c r="K728" s="3">
        <v>0.11</v>
      </c>
      <c r="L728" t="s">
        <v>19</v>
      </c>
      <c r="M728" t="s">
        <v>39</v>
      </c>
      <c r="N728" s="1" t="s">
        <v>21</v>
      </c>
      <c r="O728" s="1" t="str">
        <f>IF(OR(TBL_Employees[[#This Row],[Exit Date]],FALSE),"Left employees", "Current employees")</f>
        <v>Current employees</v>
      </c>
    </row>
    <row r="729" spans="1:15" x14ac:dyDescent="0.35">
      <c r="A729" t="s">
        <v>269</v>
      </c>
      <c r="B729" t="s">
        <v>1556</v>
      </c>
      <c r="C729" t="s">
        <v>42</v>
      </c>
      <c r="D729" t="s">
        <v>43</v>
      </c>
      <c r="E729" t="s">
        <v>32</v>
      </c>
      <c r="F729" t="s">
        <v>28</v>
      </c>
      <c r="G729" t="s">
        <v>24</v>
      </c>
      <c r="H729">
        <v>45</v>
      </c>
      <c r="I729" s="1">
        <v>39347</v>
      </c>
      <c r="J729" s="2">
        <v>92293</v>
      </c>
      <c r="K729" s="3">
        <v>0</v>
      </c>
      <c r="L729" t="s">
        <v>33</v>
      </c>
      <c r="M729" t="s">
        <v>34</v>
      </c>
      <c r="N729" s="1" t="s">
        <v>21</v>
      </c>
      <c r="O729" s="1" t="str">
        <f>IF(OR(TBL_Employees[[#This Row],[Exit Date]],FALSE),"Left employees", "Current employees")</f>
        <v>Current employees</v>
      </c>
    </row>
    <row r="730" spans="1:15" x14ac:dyDescent="0.35">
      <c r="A730" t="s">
        <v>1557</v>
      </c>
      <c r="B730" t="s">
        <v>1558</v>
      </c>
      <c r="C730" t="s">
        <v>88</v>
      </c>
      <c r="D730" t="s">
        <v>27</v>
      </c>
      <c r="E730" t="s">
        <v>32</v>
      </c>
      <c r="F730" t="s">
        <v>28</v>
      </c>
      <c r="G730" t="s">
        <v>18</v>
      </c>
      <c r="H730">
        <v>54</v>
      </c>
      <c r="I730" s="1">
        <v>33785</v>
      </c>
      <c r="J730" s="2">
        <v>63196</v>
      </c>
      <c r="K730" s="3">
        <v>0</v>
      </c>
      <c r="L730" t="s">
        <v>19</v>
      </c>
      <c r="M730" t="s">
        <v>20</v>
      </c>
      <c r="N730" s="1">
        <v>41938</v>
      </c>
      <c r="O730" s="1" t="str">
        <f>IF(OR(TBL_Employees[[#This Row],[Exit Date]],FALSE),"Left employees", "Current employees")</f>
        <v>Left employees</v>
      </c>
    </row>
    <row r="731" spans="1:15" x14ac:dyDescent="0.35">
      <c r="A731" t="s">
        <v>1559</v>
      </c>
      <c r="B731" t="s">
        <v>1560</v>
      </c>
      <c r="C731" t="s">
        <v>86</v>
      </c>
      <c r="D731" t="s">
        <v>31</v>
      </c>
      <c r="E731" t="s">
        <v>44</v>
      </c>
      <c r="F731" t="s">
        <v>17</v>
      </c>
      <c r="G731" t="s">
        <v>24</v>
      </c>
      <c r="H731">
        <v>48</v>
      </c>
      <c r="I731" s="1">
        <v>41032</v>
      </c>
      <c r="J731" s="2">
        <v>65340</v>
      </c>
      <c r="K731" s="3">
        <v>0</v>
      </c>
      <c r="L731" t="s">
        <v>33</v>
      </c>
      <c r="M731" t="s">
        <v>74</v>
      </c>
      <c r="N731" s="1">
        <v>43229</v>
      </c>
      <c r="O731" s="1" t="str">
        <f>IF(OR(TBL_Employees[[#This Row],[Exit Date]],FALSE),"Left employees", "Current employees")</f>
        <v>Left employees</v>
      </c>
    </row>
    <row r="732" spans="1:15" x14ac:dyDescent="0.35">
      <c r="A732" t="s">
        <v>109</v>
      </c>
      <c r="B732" t="s">
        <v>1561</v>
      </c>
      <c r="C732" t="s">
        <v>14</v>
      </c>
      <c r="D732" t="s">
        <v>43</v>
      </c>
      <c r="E732" t="s">
        <v>32</v>
      </c>
      <c r="F732" t="s">
        <v>28</v>
      </c>
      <c r="G732" t="s">
        <v>24</v>
      </c>
      <c r="H732">
        <v>45</v>
      </c>
      <c r="I732" s="1">
        <v>42271</v>
      </c>
      <c r="J732" s="2">
        <v>202680</v>
      </c>
      <c r="K732" s="3">
        <v>0.32</v>
      </c>
      <c r="L732" t="s">
        <v>19</v>
      </c>
      <c r="M732" t="s">
        <v>39</v>
      </c>
      <c r="N732" s="1">
        <v>44790</v>
      </c>
      <c r="O732" s="1" t="str">
        <f>IF(OR(TBL_Employees[[#This Row],[Exit Date]],FALSE),"Left employees", "Current employees")</f>
        <v>Left employees</v>
      </c>
    </row>
    <row r="733" spans="1:15" x14ac:dyDescent="0.35">
      <c r="A733" t="s">
        <v>1562</v>
      </c>
      <c r="B733" t="s">
        <v>1563</v>
      </c>
      <c r="C733" t="s">
        <v>56</v>
      </c>
      <c r="D733" t="s">
        <v>27</v>
      </c>
      <c r="E733" t="s">
        <v>36</v>
      </c>
      <c r="F733" t="s">
        <v>17</v>
      </c>
      <c r="G733" t="s">
        <v>51</v>
      </c>
      <c r="H733">
        <v>46</v>
      </c>
      <c r="I733" s="1">
        <v>42849</v>
      </c>
      <c r="J733" s="2">
        <v>77461</v>
      </c>
      <c r="K733" s="3">
        <v>0.09</v>
      </c>
      <c r="L733" t="s">
        <v>52</v>
      </c>
      <c r="M733" t="s">
        <v>53</v>
      </c>
      <c r="N733" s="1" t="s">
        <v>21</v>
      </c>
      <c r="O733" s="1" t="str">
        <f>IF(OR(TBL_Employees[[#This Row],[Exit Date]],FALSE),"Left employees", "Current employees")</f>
        <v>Current employees</v>
      </c>
    </row>
    <row r="734" spans="1:15" x14ac:dyDescent="0.35">
      <c r="A734" t="s">
        <v>222</v>
      </c>
      <c r="B734" t="s">
        <v>1564</v>
      </c>
      <c r="C734" t="s">
        <v>69</v>
      </c>
      <c r="D734" t="s">
        <v>31</v>
      </c>
      <c r="E734" t="s">
        <v>16</v>
      </c>
      <c r="F734" t="s">
        <v>17</v>
      </c>
      <c r="G734" t="s">
        <v>24</v>
      </c>
      <c r="H734">
        <v>40</v>
      </c>
      <c r="I734" s="1">
        <v>42622</v>
      </c>
      <c r="J734" s="2">
        <v>109680</v>
      </c>
      <c r="K734" s="3">
        <v>0</v>
      </c>
      <c r="L734" t="s">
        <v>33</v>
      </c>
      <c r="M734" t="s">
        <v>34</v>
      </c>
      <c r="N734" s="1" t="s">
        <v>21</v>
      </c>
      <c r="O734" s="1" t="str">
        <f>IF(OR(TBL_Employees[[#This Row],[Exit Date]],FALSE),"Left employees", "Current employees")</f>
        <v>Current employees</v>
      </c>
    </row>
    <row r="735" spans="1:15" x14ac:dyDescent="0.35">
      <c r="A735" t="s">
        <v>637</v>
      </c>
      <c r="B735" t="s">
        <v>1565</v>
      </c>
      <c r="C735" t="s">
        <v>40</v>
      </c>
      <c r="D735" t="s">
        <v>50</v>
      </c>
      <c r="E735" t="s">
        <v>36</v>
      </c>
      <c r="F735" t="s">
        <v>17</v>
      </c>
      <c r="G735" t="s">
        <v>47</v>
      </c>
      <c r="H735">
        <v>61</v>
      </c>
      <c r="I735" s="1">
        <v>35661</v>
      </c>
      <c r="J735" s="2">
        <v>159567</v>
      </c>
      <c r="K735" s="3">
        <v>0.28000000000000003</v>
      </c>
      <c r="L735" t="s">
        <v>19</v>
      </c>
      <c r="M735" t="s">
        <v>39</v>
      </c>
      <c r="N735" s="1" t="s">
        <v>21</v>
      </c>
      <c r="O735" s="1" t="str">
        <f>IF(OR(TBL_Employees[[#This Row],[Exit Date]],FALSE),"Left employees", "Current employees")</f>
        <v>Current employees</v>
      </c>
    </row>
    <row r="736" spans="1:15" x14ac:dyDescent="0.35">
      <c r="A736" t="s">
        <v>1566</v>
      </c>
      <c r="B736" t="s">
        <v>1567</v>
      </c>
      <c r="C736" t="s">
        <v>86</v>
      </c>
      <c r="D736" t="s">
        <v>31</v>
      </c>
      <c r="E736" t="s">
        <v>44</v>
      </c>
      <c r="F736" t="s">
        <v>28</v>
      </c>
      <c r="G736" t="s">
        <v>51</v>
      </c>
      <c r="H736">
        <v>54</v>
      </c>
      <c r="I736" s="1">
        <v>41237</v>
      </c>
      <c r="J736" s="2">
        <v>94407</v>
      </c>
      <c r="K736" s="3">
        <v>0</v>
      </c>
      <c r="L736" t="s">
        <v>52</v>
      </c>
      <c r="M736" t="s">
        <v>53</v>
      </c>
      <c r="N736" s="1" t="s">
        <v>21</v>
      </c>
      <c r="O736" s="1" t="str">
        <f>IF(OR(TBL_Employees[[#This Row],[Exit Date]],FALSE),"Left employees", "Current employees")</f>
        <v>Current employees</v>
      </c>
    </row>
    <row r="737" spans="1:15" x14ac:dyDescent="0.35">
      <c r="A737" t="s">
        <v>224</v>
      </c>
      <c r="B737" t="s">
        <v>1568</v>
      </c>
      <c r="C737" t="s">
        <v>14</v>
      </c>
      <c r="D737" t="s">
        <v>23</v>
      </c>
      <c r="E737" t="s">
        <v>32</v>
      </c>
      <c r="F737" t="s">
        <v>28</v>
      </c>
      <c r="G737" t="s">
        <v>51</v>
      </c>
      <c r="H737">
        <v>62</v>
      </c>
      <c r="I737" s="1">
        <v>37484</v>
      </c>
      <c r="J737" s="2">
        <v>234594</v>
      </c>
      <c r="K737" s="3">
        <v>0.33</v>
      </c>
      <c r="L737" t="s">
        <v>19</v>
      </c>
      <c r="M737" t="s">
        <v>63</v>
      </c>
      <c r="N737" s="1" t="s">
        <v>21</v>
      </c>
      <c r="O737" s="1" t="str">
        <f>IF(OR(TBL_Employees[[#This Row],[Exit Date]],FALSE),"Left employees", "Current employees")</f>
        <v>Current employees</v>
      </c>
    </row>
    <row r="738" spans="1:15" x14ac:dyDescent="0.35">
      <c r="A738" t="s">
        <v>1569</v>
      </c>
      <c r="B738" t="s">
        <v>1570</v>
      </c>
      <c r="C738" t="s">
        <v>76</v>
      </c>
      <c r="D738" t="s">
        <v>27</v>
      </c>
      <c r="E738" t="s">
        <v>44</v>
      </c>
      <c r="F738" t="s">
        <v>28</v>
      </c>
      <c r="G738" t="s">
        <v>18</v>
      </c>
      <c r="H738">
        <v>48</v>
      </c>
      <c r="I738" s="1">
        <v>37298</v>
      </c>
      <c r="J738" s="2">
        <v>43080</v>
      </c>
      <c r="K738" s="3">
        <v>0</v>
      </c>
      <c r="L738" t="s">
        <v>19</v>
      </c>
      <c r="M738" t="s">
        <v>25</v>
      </c>
      <c r="N738" s="1" t="s">
        <v>21</v>
      </c>
      <c r="O738" s="1" t="str">
        <f>IF(OR(TBL_Employees[[#This Row],[Exit Date]],FALSE),"Left employees", "Current employees")</f>
        <v>Current employees</v>
      </c>
    </row>
    <row r="739" spans="1:15" x14ac:dyDescent="0.35">
      <c r="A739" t="s">
        <v>278</v>
      </c>
      <c r="B739" t="s">
        <v>1571</v>
      </c>
      <c r="C739" t="s">
        <v>62</v>
      </c>
      <c r="D739" t="s">
        <v>43</v>
      </c>
      <c r="E739" t="s">
        <v>36</v>
      </c>
      <c r="F739" t="s">
        <v>17</v>
      </c>
      <c r="G739" t="s">
        <v>51</v>
      </c>
      <c r="H739">
        <v>29</v>
      </c>
      <c r="I739" s="1">
        <v>44325</v>
      </c>
      <c r="J739" s="2">
        <v>129541</v>
      </c>
      <c r="K739" s="3">
        <v>0.08</v>
      </c>
      <c r="L739" t="s">
        <v>19</v>
      </c>
      <c r="M739" t="s">
        <v>39</v>
      </c>
      <c r="N739" s="1">
        <v>44340</v>
      </c>
      <c r="O739" s="1" t="str">
        <f>IF(OR(TBL_Employees[[#This Row],[Exit Date]],FALSE),"Left employees", "Current employees")</f>
        <v>Left employees</v>
      </c>
    </row>
    <row r="740" spans="1:15" x14ac:dyDescent="0.35">
      <c r="A740" t="s">
        <v>1572</v>
      </c>
      <c r="B740" t="s">
        <v>1573</v>
      </c>
      <c r="C740" t="s">
        <v>40</v>
      </c>
      <c r="D740" t="s">
        <v>50</v>
      </c>
      <c r="E740" t="s">
        <v>16</v>
      </c>
      <c r="F740" t="s">
        <v>28</v>
      </c>
      <c r="G740" t="s">
        <v>51</v>
      </c>
      <c r="H740">
        <v>39</v>
      </c>
      <c r="I740" s="1">
        <v>41635</v>
      </c>
      <c r="J740" s="2">
        <v>165756</v>
      </c>
      <c r="K740" s="3">
        <v>0.28000000000000003</v>
      </c>
      <c r="L740" t="s">
        <v>19</v>
      </c>
      <c r="M740" t="s">
        <v>29</v>
      </c>
      <c r="N740" s="1">
        <v>43991</v>
      </c>
      <c r="O740" s="1" t="str">
        <f>IF(OR(TBL_Employees[[#This Row],[Exit Date]],FALSE),"Left employees", "Current employees")</f>
        <v>Left employees</v>
      </c>
    </row>
    <row r="741" spans="1:15" x14ac:dyDescent="0.35">
      <c r="A741" t="s">
        <v>1574</v>
      </c>
      <c r="B741" t="s">
        <v>1575</v>
      </c>
      <c r="C741" t="s">
        <v>61</v>
      </c>
      <c r="D741" t="s">
        <v>15</v>
      </c>
      <c r="E741" t="s">
        <v>44</v>
      </c>
      <c r="F741" t="s">
        <v>28</v>
      </c>
      <c r="G741" t="s">
        <v>24</v>
      </c>
      <c r="H741">
        <v>44</v>
      </c>
      <c r="I741" s="1">
        <v>40274</v>
      </c>
      <c r="J741" s="2">
        <v>142878</v>
      </c>
      <c r="K741" s="3">
        <v>0.12</v>
      </c>
      <c r="L741" t="s">
        <v>19</v>
      </c>
      <c r="M741" t="s">
        <v>29</v>
      </c>
      <c r="N741" s="1" t="s">
        <v>21</v>
      </c>
      <c r="O741" s="1" t="str">
        <f>IF(OR(TBL_Employees[[#This Row],[Exit Date]],FALSE),"Left employees", "Current employees")</f>
        <v>Current employees</v>
      </c>
    </row>
    <row r="742" spans="1:15" x14ac:dyDescent="0.35">
      <c r="A742" t="s">
        <v>255</v>
      </c>
      <c r="B742" t="s">
        <v>1576</v>
      </c>
      <c r="C742" t="s">
        <v>40</v>
      </c>
      <c r="D742" t="s">
        <v>31</v>
      </c>
      <c r="E742" t="s">
        <v>36</v>
      </c>
      <c r="F742" t="s">
        <v>28</v>
      </c>
      <c r="G742" t="s">
        <v>18</v>
      </c>
      <c r="H742">
        <v>52</v>
      </c>
      <c r="I742" s="1">
        <v>39018</v>
      </c>
      <c r="J742" s="2">
        <v>187992</v>
      </c>
      <c r="K742" s="3">
        <v>0.28000000000000003</v>
      </c>
      <c r="L742" t="s">
        <v>19</v>
      </c>
      <c r="M742" t="s">
        <v>45</v>
      </c>
      <c r="N742" s="1" t="s">
        <v>21</v>
      </c>
      <c r="O742" s="1" t="str">
        <f>IF(OR(TBL_Employees[[#This Row],[Exit Date]],FALSE),"Left employees", "Current employees")</f>
        <v>Current employees</v>
      </c>
    </row>
    <row r="743" spans="1:15" x14ac:dyDescent="0.35">
      <c r="A743" t="s">
        <v>1577</v>
      </c>
      <c r="B743" t="s">
        <v>1578</v>
      </c>
      <c r="C743" t="s">
        <v>14</v>
      </c>
      <c r="D743" t="s">
        <v>23</v>
      </c>
      <c r="E743" t="s">
        <v>44</v>
      </c>
      <c r="F743" t="s">
        <v>17</v>
      </c>
      <c r="G743" t="s">
        <v>51</v>
      </c>
      <c r="H743">
        <v>45</v>
      </c>
      <c r="I743" s="1">
        <v>43521</v>
      </c>
      <c r="J743" s="2">
        <v>249801</v>
      </c>
      <c r="K743" s="3">
        <v>0.39</v>
      </c>
      <c r="L743" t="s">
        <v>52</v>
      </c>
      <c r="M743" t="s">
        <v>53</v>
      </c>
      <c r="N743" s="1" t="s">
        <v>21</v>
      </c>
      <c r="O743" s="1" t="str">
        <f>IF(OR(TBL_Employees[[#This Row],[Exit Date]],FALSE),"Left employees", "Current employees")</f>
        <v>Current employees</v>
      </c>
    </row>
    <row r="744" spans="1:15" x14ac:dyDescent="0.35">
      <c r="A744" t="s">
        <v>1579</v>
      </c>
      <c r="B744" t="s">
        <v>1580</v>
      </c>
      <c r="C744" t="s">
        <v>89</v>
      </c>
      <c r="D744" t="s">
        <v>27</v>
      </c>
      <c r="E744" t="s">
        <v>16</v>
      </c>
      <c r="F744" t="s">
        <v>28</v>
      </c>
      <c r="G744" t="s">
        <v>18</v>
      </c>
      <c r="H744">
        <v>48</v>
      </c>
      <c r="I744" s="1">
        <v>38987</v>
      </c>
      <c r="J744" s="2">
        <v>76505</v>
      </c>
      <c r="K744" s="3">
        <v>0</v>
      </c>
      <c r="L744" t="s">
        <v>19</v>
      </c>
      <c r="M744" t="s">
        <v>63</v>
      </c>
      <c r="N744" s="1">
        <v>39180</v>
      </c>
      <c r="O744" s="1" t="str">
        <f>IF(OR(TBL_Employees[[#This Row],[Exit Date]],FALSE),"Left employees", "Current employees")</f>
        <v>Left employees</v>
      </c>
    </row>
    <row r="745" spans="1:15" x14ac:dyDescent="0.35">
      <c r="A745" t="s">
        <v>1581</v>
      </c>
      <c r="B745" t="s">
        <v>1582</v>
      </c>
      <c r="C745" t="s">
        <v>82</v>
      </c>
      <c r="D745" t="s">
        <v>27</v>
      </c>
      <c r="E745" t="s">
        <v>32</v>
      </c>
      <c r="F745" t="s">
        <v>28</v>
      </c>
      <c r="G745" t="s">
        <v>51</v>
      </c>
      <c r="H745">
        <v>39</v>
      </c>
      <c r="I745" s="1">
        <v>42664</v>
      </c>
      <c r="J745" s="2">
        <v>84297</v>
      </c>
      <c r="K745" s="3">
        <v>0</v>
      </c>
      <c r="L745" t="s">
        <v>52</v>
      </c>
      <c r="M745" t="s">
        <v>81</v>
      </c>
      <c r="N745" s="1" t="s">
        <v>21</v>
      </c>
      <c r="O745" s="1" t="str">
        <f>IF(OR(TBL_Employees[[#This Row],[Exit Date]],FALSE),"Left employees", "Current employees")</f>
        <v>Current employees</v>
      </c>
    </row>
    <row r="746" spans="1:15" x14ac:dyDescent="0.35">
      <c r="A746" t="s">
        <v>1583</v>
      </c>
      <c r="B746" t="s">
        <v>1584</v>
      </c>
      <c r="C746" t="s">
        <v>42</v>
      </c>
      <c r="D746" t="s">
        <v>50</v>
      </c>
      <c r="E746" t="s">
        <v>44</v>
      </c>
      <c r="F746" t="s">
        <v>17</v>
      </c>
      <c r="G746" t="s">
        <v>51</v>
      </c>
      <c r="H746">
        <v>53</v>
      </c>
      <c r="I746" s="1">
        <v>42744</v>
      </c>
      <c r="J746" s="2">
        <v>75769</v>
      </c>
      <c r="K746" s="3">
        <v>0</v>
      </c>
      <c r="L746" t="s">
        <v>52</v>
      </c>
      <c r="M746" t="s">
        <v>81</v>
      </c>
      <c r="N746" s="1">
        <v>44029</v>
      </c>
      <c r="O746" s="1" t="str">
        <f>IF(OR(TBL_Employees[[#This Row],[Exit Date]],FALSE),"Left employees", "Current employees")</f>
        <v>Left employees</v>
      </c>
    </row>
    <row r="747" spans="1:15" x14ac:dyDescent="0.35">
      <c r="A747" t="s">
        <v>177</v>
      </c>
      <c r="B747" t="s">
        <v>1585</v>
      </c>
      <c r="C747" t="s">
        <v>14</v>
      </c>
      <c r="D747" t="s">
        <v>65</v>
      </c>
      <c r="E747" t="s">
        <v>44</v>
      </c>
      <c r="F747" t="s">
        <v>28</v>
      </c>
      <c r="G747" t="s">
        <v>18</v>
      </c>
      <c r="H747">
        <v>41</v>
      </c>
      <c r="I747" s="1">
        <v>41503</v>
      </c>
      <c r="J747" s="2">
        <v>235619</v>
      </c>
      <c r="K747" s="3">
        <v>0.3</v>
      </c>
      <c r="L747" t="s">
        <v>19</v>
      </c>
      <c r="M747" t="s">
        <v>63</v>
      </c>
      <c r="N747" s="1" t="s">
        <v>21</v>
      </c>
      <c r="O747" s="1" t="str">
        <f>IF(OR(TBL_Employees[[#This Row],[Exit Date]],FALSE),"Left employees", "Current employees")</f>
        <v>Current employees</v>
      </c>
    </row>
    <row r="748" spans="1:15" x14ac:dyDescent="0.35">
      <c r="A748" t="s">
        <v>1586</v>
      </c>
      <c r="B748" t="s">
        <v>1587</v>
      </c>
      <c r="C748" t="s">
        <v>40</v>
      </c>
      <c r="D748" t="s">
        <v>31</v>
      </c>
      <c r="E748" t="s">
        <v>44</v>
      </c>
      <c r="F748" t="s">
        <v>28</v>
      </c>
      <c r="G748" t="s">
        <v>51</v>
      </c>
      <c r="H748">
        <v>40</v>
      </c>
      <c r="I748" s="1">
        <v>43868</v>
      </c>
      <c r="J748" s="2">
        <v>187187</v>
      </c>
      <c r="K748" s="3">
        <v>0.18</v>
      </c>
      <c r="L748" t="s">
        <v>52</v>
      </c>
      <c r="M748" t="s">
        <v>81</v>
      </c>
      <c r="N748" s="1" t="s">
        <v>21</v>
      </c>
      <c r="O748" s="1" t="str">
        <f>IF(OR(TBL_Employees[[#This Row],[Exit Date]],FALSE),"Left employees", "Current employees")</f>
        <v>Current employees</v>
      </c>
    </row>
    <row r="749" spans="1:15" x14ac:dyDescent="0.35">
      <c r="A749" t="s">
        <v>340</v>
      </c>
      <c r="B749" t="s">
        <v>1588</v>
      </c>
      <c r="C749" t="s">
        <v>35</v>
      </c>
      <c r="D749" t="s">
        <v>27</v>
      </c>
      <c r="E749" t="s">
        <v>16</v>
      </c>
      <c r="F749" t="s">
        <v>28</v>
      </c>
      <c r="G749" t="s">
        <v>51</v>
      </c>
      <c r="H749">
        <v>48</v>
      </c>
      <c r="I749" s="1">
        <v>38560</v>
      </c>
      <c r="J749" s="2">
        <v>68987</v>
      </c>
      <c r="K749" s="3">
        <v>0</v>
      </c>
      <c r="L749" t="s">
        <v>19</v>
      </c>
      <c r="M749" t="s">
        <v>20</v>
      </c>
      <c r="N749" s="1">
        <v>38829</v>
      </c>
      <c r="O749" s="1" t="str">
        <f>IF(OR(TBL_Employees[[#This Row],[Exit Date]],FALSE),"Left employees", "Current employees")</f>
        <v>Left employees</v>
      </c>
    </row>
    <row r="750" spans="1:15" x14ac:dyDescent="0.35">
      <c r="A750" t="s">
        <v>1589</v>
      </c>
      <c r="B750" t="s">
        <v>1590</v>
      </c>
      <c r="C750" t="s">
        <v>40</v>
      </c>
      <c r="D750" t="s">
        <v>31</v>
      </c>
      <c r="E750" t="s">
        <v>44</v>
      </c>
      <c r="F750" t="s">
        <v>28</v>
      </c>
      <c r="G750" t="s">
        <v>18</v>
      </c>
      <c r="H750">
        <v>41</v>
      </c>
      <c r="I750" s="1">
        <v>39156</v>
      </c>
      <c r="J750" s="2">
        <v>155926</v>
      </c>
      <c r="K750" s="3">
        <v>0.24</v>
      </c>
      <c r="L750" t="s">
        <v>19</v>
      </c>
      <c r="M750" t="s">
        <v>29</v>
      </c>
      <c r="N750" s="1">
        <v>39598</v>
      </c>
      <c r="O750" s="1" t="str">
        <f>IF(OR(TBL_Employees[[#This Row],[Exit Date]],FALSE),"Left employees", "Current employees")</f>
        <v>Left employees</v>
      </c>
    </row>
    <row r="751" spans="1:15" x14ac:dyDescent="0.35">
      <c r="A751" t="s">
        <v>135</v>
      </c>
      <c r="B751" t="s">
        <v>1591</v>
      </c>
      <c r="C751" t="s">
        <v>42</v>
      </c>
      <c r="D751" t="s">
        <v>65</v>
      </c>
      <c r="E751" t="s">
        <v>44</v>
      </c>
      <c r="F751" t="s">
        <v>28</v>
      </c>
      <c r="G751" t="s">
        <v>24</v>
      </c>
      <c r="H751">
        <v>54</v>
      </c>
      <c r="I751" s="1">
        <v>42494</v>
      </c>
      <c r="J751" s="2">
        <v>93668</v>
      </c>
      <c r="K751" s="3">
        <v>0</v>
      </c>
      <c r="L751" t="s">
        <v>19</v>
      </c>
      <c r="M751" t="s">
        <v>20</v>
      </c>
      <c r="N751" s="1" t="s">
        <v>21</v>
      </c>
      <c r="O751" s="1" t="str">
        <f>IF(OR(TBL_Employees[[#This Row],[Exit Date]],FALSE),"Left employees", "Current employees")</f>
        <v>Current employees</v>
      </c>
    </row>
    <row r="752" spans="1:15" x14ac:dyDescent="0.35">
      <c r="A752" t="s">
        <v>160</v>
      </c>
      <c r="B752" t="s">
        <v>1592</v>
      </c>
      <c r="C752" t="s">
        <v>22</v>
      </c>
      <c r="D752" t="s">
        <v>23</v>
      </c>
      <c r="E752" t="s">
        <v>16</v>
      </c>
      <c r="F752" t="s">
        <v>28</v>
      </c>
      <c r="G752" t="s">
        <v>18</v>
      </c>
      <c r="H752">
        <v>38</v>
      </c>
      <c r="I752" s="1">
        <v>43798</v>
      </c>
      <c r="J752" s="2">
        <v>69647</v>
      </c>
      <c r="K752" s="3">
        <v>0</v>
      </c>
      <c r="L752" t="s">
        <v>19</v>
      </c>
      <c r="M752" t="s">
        <v>45</v>
      </c>
      <c r="N752" s="1">
        <v>44671</v>
      </c>
      <c r="O752" s="1" t="str">
        <f>IF(OR(TBL_Employees[[#This Row],[Exit Date]],FALSE),"Left employees", "Current employees")</f>
        <v>Left employees</v>
      </c>
    </row>
    <row r="753" spans="1:15" x14ac:dyDescent="0.35">
      <c r="A753" t="s">
        <v>233</v>
      </c>
      <c r="B753" t="s">
        <v>1593</v>
      </c>
      <c r="C753" t="s">
        <v>98</v>
      </c>
      <c r="D753" t="s">
        <v>27</v>
      </c>
      <c r="E753" t="s">
        <v>32</v>
      </c>
      <c r="F753" t="s">
        <v>28</v>
      </c>
      <c r="G753" t="s">
        <v>24</v>
      </c>
      <c r="H753">
        <v>57</v>
      </c>
      <c r="I753" s="1">
        <v>37798</v>
      </c>
      <c r="J753" s="2">
        <v>63318</v>
      </c>
      <c r="K753" s="3">
        <v>0</v>
      </c>
      <c r="L753" t="s">
        <v>19</v>
      </c>
      <c r="M753" t="s">
        <v>29</v>
      </c>
      <c r="N753" s="1" t="s">
        <v>21</v>
      </c>
      <c r="O753" s="1" t="str">
        <f>IF(OR(TBL_Employees[[#This Row],[Exit Date]],FALSE),"Left employees", "Current employees")</f>
        <v>Current employees</v>
      </c>
    </row>
    <row r="754" spans="1:15" x14ac:dyDescent="0.35">
      <c r="A754" t="s">
        <v>1594</v>
      </c>
      <c r="B754" t="s">
        <v>1595</v>
      </c>
      <c r="C754" t="s">
        <v>42</v>
      </c>
      <c r="D754" t="s">
        <v>43</v>
      </c>
      <c r="E754" t="s">
        <v>36</v>
      </c>
      <c r="F754" t="s">
        <v>28</v>
      </c>
      <c r="G754" t="s">
        <v>24</v>
      </c>
      <c r="H754">
        <v>63</v>
      </c>
      <c r="I754" s="1">
        <v>42778</v>
      </c>
      <c r="J754" s="2">
        <v>77629</v>
      </c>
      <c r="K754" s="3">
        <v>0</v>
      </c>
      <c r="L754" t="s">
        <v>33</v>
      </c>
      <c r="M754" t="s">
        <v>60</v>
      </c>
      <c r="N754" s="1" t="s">
        <v>21</v>
      </c>
      <c r="O754" s="1" t="str">
        <f>IF(OR(TBL_Employees[[#This Row],[Exit Date]],FALSE),"Left employees", "Current employees")</f>
        <v>Current employees</v>
      </c>
    </row>
    <row r="755" spans="1:15" x14ac:dyDescent="0.35">
      <c r="A755" t="s">
        <v>1596</v>
      </c>
      <c r="B755" t="s">
        <v>1597</v>
      </c>
      <c r="C755" t="s">
        <v>61</v>
      </c>
      <c r="D755" t="s">
        <v>23</v>
      </c>
      <c r="E755" t="s">
        <v>36</v>
      </c>
      <c r="F755" t="s">
        <v>28</v>
      </c>
      <c r="G755" t="s">
        <v>24</v>
      </c>
      <c r="H755">
        <v>62</v>
      </c>
      <c r="I755" s="1">
        <v>43061</v>
      </c>
      <c r="J755" s="2">
        <v>138808</v>
      </c>
      <c r="K755" s="3">
        <v>0.15</v>
      </c>
      <c r="L755" t="s">
        <v>33</v>
      </c>
      <c r="M755" t="s">
        <v>80</v>
      </c>
      <c r="N755" s="1" t="s">
        <v>21</v>
      </c>
      <c r="O755" s="1" t="str">
        <f>IF(OR(TBL_Employees[[#This Row],[Exit Date]],FALSE),"Left employees", "Current employees")</f>
        <v>Current employees</v>
      </c>
    </row>
    <row r="756" spans="1:15" x14ac:dyDescent="0.35">
      <c r="A756" t="s">
        <v>1598</v>
      </c>
      <c r="B756" t="s">
        <v>1599</v>
      </c>
      <c r="C756" t="s">
        <v>26</v>
      </c>
      <c r="D756" t="s">
        <v>27</v>
      </c>
      <c r="E756" t="s">
        <v>16</v>
      </c>
      <c r="F756" t="s">
        <v>17</v>
      </c>
      <c r="G756" t="s">
        <v>18</v>
      </c>
      <c r="H756">
        <v>49</v>
      </c>
      <c r="I756" s="1">
        <v>41703</v>
      </c>
      <c r="J756" s="2">
        <v>88777</v>
      </c>
      <c r="K756" s="3">
        <v>0</v>
      </c>
      <c r="L756" t="s">
        <v>19</v>
      </c>
      <c r="M756" t="s">
        <v>20</v>
      </c>
      <c r="N756" s="1" t="s">
        <v>21</v>
      </c>
      <c r="O756" s="1" t="str">
        <f>IF(OR(TBL_Employees[[#This Row],[Exit Date]],FALSE),"Left employees", "Current employees")</f>
        <v>Current employees</v>
      </c>
    </row>
    <row r="757" spans="1:15" x14ac:dyDescent="0.35">
      <c r="A757" t="s">
        <v>1600</v>
      </c>
      <c r="B757" t="s">
        <v>1601</v>
      </c>
      <c r="C757" t="s">
        <v>40</v>
      </c>
      <c r="D757" t="s">
        <v>65</v>
      </c>
      <c r="E757" t="s">
        <v>32</v>
      </c>
      <c r="F757" t="s">
        <v>17</v>
      </c>
      <c r="G757" t="s">
        <v>24</v>
      </c>
      <c r="H757">
        <v>60</v>
      </c>
      <c r="I757" s="1">
        <v>38121</v>
      </c>
      <c r="J757" s="2">
        <v>186378</v>
      </c>
      <c r="K757" s="3">
        <v>0.26</v>
      </c>
      <c r="L757" t="s">
        <v>33</v>
      </c>
      <c r="M757" t="s">
        <v>80</v>
      </c>
      <c r="N757" s="1" t="s">
        <v>21</v>
      </c>
      <c r="O757" s="1" t="str">
        <f>IF(OR(TBL_Employees[[#This Row],[Exit Date]],FALSE),"Left employees", "Current employees")</f>
        <v>Current employees</v>
      </c>
    </row>
    <row r="758" spans="1:15" x14ac:dyDescent="0.35">
      <c r="A758" t="s">
        <v>373</v>
      </c>
      <c r="B758" t="s">
        <v>1602</v>
      </c>
      <c r="C758" t="s">
        <v>30</v>
      </c>
      <c r="D758" t="s">
        <v>31</v>
      </c>
      <c r="E758" t="s">
        <v>16</v>
      </c>
      <c r="F758" t="s">
        <v>17</v>
      </c>
      <c r="G758" t="s">
        <v>24</v>
      </c>
      <c r="H758">
        <v>45</v>
      </c>
      <c r="I758" s="1">
        <v>42117</v>
      </c>
      <c r="J758" s="2">
        <v>60017</v>
      </c>
      <c r="K758" s="3">
        <v>0</v>
      </c>
      <c r="L758" t="s">
        <v>19</v>
      </c>
      <c r="M758" t="s">
        <v>20</v>
      </c>
      <c r="N758" s="1" t="s">
        <v>21</v>
      </c>
      <c r="O758" s="1" t="str">
        <f>IF(OR(TBL_Employees[[#This Row],[Exit Date]],FALSE),"Left employees", "Current employees")</f>
        <v>Current employees</v>
      </c>
    </row>
    <row r="759" spans="1:15" x14ac:dyDescent="0.35">
      <c r="A759" t="s">
        <v>1603</v>
      </c>
      <c r="B759" t="s">
        <v>1604</v>
      </c>
      <c r="C759" t="s">
        <v>61</v>
      </c>
      <c r="D759" t="s">
        <v>50</v>
      </c>
      <c r="E759" t="s">
        <v>44</v>
      </c>
      <c r="F759" t="s">
        <v>17</v>
      </c>
      <c r="G759" t="s">
        <v>51</v>
      </c>
      <c r="H759">
        <v>45</v>
      </c>
      <c r="I759" s="1">
        <v>43305</v>
      </c>
      <c r="J759" s="2">
        <v>148991</v>
      </c>
      <c r="K759" s="3">
        <v>0.12</v>
      </c>
      <c r="L759" t="s">
        <v>52</v>
      </c>
      <c r="M759" t="s">
        <v>53</v>
      </c>
      <c r="N759" s="1" t="s">
        <v>21</v>
      </c>
      <c r="O759" s="1" t="str">
        <f>IF(OR(TBL_Employees[[#This Row],[Exit Date]],FALSE),"Left employees", "Current employees")</f>
        <v>Current employees</v>
      </c>
    </row>
    <row r="760" spans="1:15" x14ac:dyDescent="0.35">
      <c r="A760" t="s">
        <v>365</v>
      </c>
      <c r="B760" t="s">
        <v>1605</v>
      </c>
      <c r="C760" t="s">
        <v>129</v>
      </c>
      <c r="D760" t="s">
        <v>31</v>
      </c>
      <c r="E760" t="s">
        <v>44</v>
      </c>
      <c r="F760" t="s">
        <v>17</v>
      </c>
      <c r="G760" t="s">
        <v>51</v>
      </c>
      <c r="H760">
        <v>52</v>
      </c>
      <c r="I760" s="1">
        <v>39532</v>
      </c>
      <c r="J760" s="2">
        <v>97398</v>
      </c>
      <c r="K760" s="3">
        <v>0</v>
      </c>
      <c r="L760" t="s">
        <v>52</v>
      </c>
      <c r="M760" t="s">
        <v>81</v>
      </c>
      <c r="N760" s="1" t="s">
        <v>21</v>
      </c>
      <c r="O760" s="1" t="str">
        <f>IF(OR(TBL_Employees[[#This Row],[Exit Date]],FALSE),"Left employees", "Current employees")</f>
        <v>Current employees</v>
      </c>
    </row>
    <row r="761" spans="1:15" x14ac:dyDescent="0.35">
      <c r="A761" t="s">
        <v>1606</v>
      </c>
      <c r="B761" t="s">
        <v>1607</v>
      </c>
      <c r="C761" t="s">
        <v>77</v>
      </c>
      <c r="D761" t="s">
        <v>23</v>
      </c>
      <c r="E761" t="s">
        <v>36</v>
      </c>
      <c r="F761" t="s">
        <v>17</v>
      </c>
      <c r="G761" t="s">
        <v>24</v>
      </c>
      <c r="H761">
        <v>63</v>
      </c>
      <c r="I761" s="1">
        <v>39204</v>
      </c>
      <c r="J761" s="2">
        <v>72805</v>
      </c>
      <c r="K761" s="3">
        <v>0</v>
      </c>
      <c r="L761" t="s">
        <v>33</v>
      </c>
      <c r="M761" t="s">
        <v>74</v>
      </c>
      <c r="N761" s="1" t="s">
        <v>21</v>
      </c>
      <c r="O761" s="1" t="str">
        <f>IF(OR(TBL_Employees[[#This Row],[Exit Date]],FALSE),"Left employees", "Current employees")</f>
        <v>Current employees</v>
      </c>
    </row>
    <row r="762" spans="1:15" x14ac:dyDescent="0.35">
      <c r="A762" t="s">
        <v>195</v>
      </c>
      <c r="B762" t="s">
        <v>1608</v>
      </c>
      <c r="C762" t="s">
        <v>49</v>
      </c>
      <c r="D762" t="s">
        <v>50</v>
      </c>
      <c r="E762" t="s">
        <v>16</v>
      </c>
      <c r="F762" t="s">
        <v>17</v>
      </c>
      <c r="G762" t="s">
        <v>24</v>
      </c>
      <c r="H762">
        <v>46</v>
      </c>
      <c r="I762" s="1">
        <v>44213</v>
      </c>
      <c r="J762" s="2">
        <v>72131</v>
      </c>
      <c r="K762" s="3">
        <v>0</v>
      </c>
      <c r="L762" t="s">
        <v>33</v>
      </c>
      <c r="M762" t="s">
        <v>74</v>
      </c>
      <c r="N762" s="1" t="s">
        <v>21</v>
      </c>
      <c r="O762" s="1" t="str">
        <f>IF(OR(TBL_Employees[[#This Row],[Exit Date]],FALSE),"Left employees", "Current employees")</f>
        <v>Current employees</v>
      </c>
    </row>
    <row r="763" spans="1:15" x14ac:dyDescent="0.35">
      <c r="A763" t="s">
        <v>1609</v>
      </c>
      <c r="B763" t="s">
        <v>1610</v>
      </c>
      <c r="C763" t="s">
        <v>62</v>
      </c>
      <c r="D763" t="s">
        <v>23</v>
      </c>
      <c r="E763" t="s">
        <v>36</v>
      </c>
      <c r="F763" t="s">
        <v>28</v>
      </c>
      <c r="G763" t="s">
        <v>18</v>
      </c>
      <c r="H763">
        <v>64</v>
      </c>
      <c r="I763" s="1">
        <v>33964</v>
      </c>
      <c r="J763" s="2">
        <v>104668</v>
      </c>
      <c r="K763" s="3">
        <v>0.08</v>
      </c>
      <c r="L763" t="s">
        <v>19</v>
      </c>
      <c r="M763" t="s">
        <v>29</v>
      </c>
      <c r="N763" s="1" t="s">
        <v>21</v>
      </c>
      <c r="O763" s="1" t="str">
        <f>IF(OR(TBL_Employees[[#This Row],[Exit Date]],FALSE),"Left employees", "Current employees")</f>
        <v>Current employees</v>
      </c>
    </row>
    <row r="764" spans="1:15" x14ac:dyDescent="0.35">
      <c r="A764" t="s">
        <v>1611</v>
      </c>
      <c r="B764" t="s">
        <v>1612</v>
      </c>
      <c r="C764" t="s">
        <v>42</v>
      </c>
      <c r="D764" t="s">
        <v>50</v>
      </c>
      <c r="E764" t="s">
        <v>36</v>
      </c>
      <c r="F764" t="s">
        <v>17</v>
      </c>
      <c r="G764" t="s">
        <v>18</v>
      </c>
      <c r="H764">
        <v>53</v>
      </c>
      <c r="I764" s="1">
        <v>42952</v>
      </c>
      <c r="J764" s="2">
        <v>89769</v>
      </c>
      <c r="K764" s="3">
        <v>0</v>
      </c>
      <c r="L764" t="s">
        <v>19</v>
      </c>
      <c r="M764" t="s">
        <v>63</v>
      </c>
      <c r="N764" s="1" t="s">
        <v>21</v>
      </c>
      <c r="O764" s="1" t="str">
        <f>IF(OR(TBL_Employees[[#This Row],[Exit Date]],FALSE),"Left employees", "Current employees")</f>
        <v>Current employees</v>
      </c>
    </row>
    <row r="765" spans="1:15" x14ac:dyDescent="0.35">
      <c r="A765" t="s">
        <v>1613</v>
      </c>
      <c r="B765" t="s">
        <v>1614</v>
      </c>
      <c r="C765" t="s">
        <v>62</v>
      </c>
      <c r="D765" t="s">
        <v>50</v>
      </c>
      <c r="E765" t="s">
        <v>32</v>
      </c>
      <c r="F765" t="s">
        <v>17</v>
      </c>
      <c r="G765" t="s">
        <v>24</v>
      </c>
      <c r="H765">
        <v>27</v>
      </c>
      <c r="I765" s="1">
        <v>43358</v>
      </c>
      <c r="J765" s="2">
        <v>127616</v>
      </c>
      <c r="K765" s="3">
        <v>7.0000000000000007E-2</v>
      </c>
      <c r="L765" t="s">
        <v>19</v>
      </c>
      <c r="M765" t="s">
        <v>29</v>
      </c>
      <c r="N765" s="1" t="s">
        <v>21</v>
      </c>
      <c r="O765" s="1" t="str">
        <f>IF(OR(TBL_Employees[[#This Row],[Exit Date]],FALSE),"Left employees", "Current employees")</f>
        <v>Current employees</v>
      </c>
    </row>
    <row r="766" spans="1:15" x14ac:dyDescent="0.35">
      <c r="A766" t="s">
        <v>345</v>
      </c>
      <c r="B766" t="s">
        <v>1615</v>
      </c>
      <c r="C766" t="s">
        <v>62</v>
      </c>
      <c r="D766" t="s">
        <v>23</v>
      </c>
      <c r="E766" t="s">
        <v>32</v>
      </c>
      <c r="F766" t="s">
        <v>28</v>
      </c>
      <c r="G766" t="s">
        <v>18</v>
      </c>
      <c r="H766">
        <v>45</v>
      </c>
      <c r="I766" s="1">
        <v>41099</v>
      </c>
      <c r="J766" s="2">
        <v>109883</v>
      </c>
      <c r="K766" s="3">
        <v>7.0000000000000007E-2</v>
      </c>
      <c r="L766" t="s">
        <v>19</v>
      </c>
      <c r="M766" t="s">
        <v>29</v>
      </c>
      <c r="N766" s="1" t="s">
        <v>21</v>
      </c>
      <c r="O766" s="1" t="str">
        <f>IF(OR(TBL_Employees[[#This Row],[Exit Date]],FALSE),"Left employees", "Current employees")</f>
        <v>Current employees</v>
      </c>
    </row>
    <row r="767" spans="1:15" x14ac:dyDescent="0.35">
      <c r="A767" t="s">
        <v>1616</v>
      </c>
      <c r="B767" t="s">
        <v>111</v>
      </c>
      <c r="C767" t="s">
        <v>83</v>
      </c>
      <c r="D767" t="s">
        <v>23</v>
      </c>
      <c r="E767" t="s">
        <v>36</v>
      </c>
      <c r="F767" t="s">
        <v>17</v>
      </c>
      <c r="G767" t="s">
        <v>24</v>
      </c>
      <c r="H767">
        <v>25</v>
      </c>
      <c r="I767" s="1">
        <v>44270</v>
      </c>
      <c r="J767" s="2">
        <v>47974</v>
      </c>
      <c r="K767" s="3">
        <v>0</v>
      </c>
      <c r="L767" t="s">
        <v>33</v>
      </c>
      <c r="M767" t="s">
        <v>80</v>
      </c>
      <c r="N767" s="1" t="s">
        <v>21</v>
      </c>
      <c r="O767" s="1" t="str">
        <f>IF(OR(TBL_Employees[[#This Row],[Exit Date]],FALSE),"Left employees", "Current employees")</f>
        <v>Current employees</v>
      </c>
    </row>
    <row r="768" spans="1:15" x14ac:dyDescent="0.35">
      <c r="A768" t="s">
        <v>1617</v>
      </c>
      <c r="B768" t="s">
        <v>1618</v>
      </c>
      <c r="C768" t="s">
        <v>61</v>
      </c>
      <c r="D768" t="s">
        <v>27</v>
      </c>
      <c r="E768" t="s">
        <v>44</v>
      </c>
      <c r="F768" t="s">
        <v>17</v>
      </c>
      <c r="G768" t="s">
        <v>18</v>
      </c>
      <c r="H768">
        <v>43</v>
      </c>
      <c r="I768" s="1">
        <v>42090</v>
      </c>
      <c r="J768" s="2">
        <v>120321</v>
      </c>
      <c r="K768" s="3">
        <v>0.12</v>
      </c>
      <c r="L768" t="s">
        <v>19</v>
      </c>
      <c r="M768" t="s">
        <v>25</v>
      </c>
      <c r="N768" s="1" t="s">
        <v>21</v>
      </c>
      <c r="O768" s="1" t="str">
        <f>IF(OR(TBL_Employees[[#This Row],[Exit Date]],FALSE),"Left employees", "Current employees")</f>
        <v>Current employees</v>
      </c>
    </row>
    <row r="769" spans="1:15" x14ac:dyDescent="0.35">
      <c r="A769" t="s">
        <v>1619</v>
      </c>
      <c r="B769" t="s">
        <v>281</v>
      </c>
      <c r="C769" t="s">
        <v>73</v>
      </c>
      <c r="D769" t="s">
        <v>27</v>
      </c>
      <c r="E769" t="s">
        <v>36</v>
      </c>
      <c r="F769" t="s">
        <v>17</v>
      </c>
      <c r="G769" t="s">
        <v>51</v>
      </c>
      <c r="H769">
        <v>61</v>
      </c>
      <c r="I769" s="1">
        <v>41861</v>
      </c>
      <c r="J769" s="2">
        <v>57446</v>
      </c>
      <c r="K769" s="3">
        <v>0</v>
      </c>
      <c r="L769" t="s">
        <v>19</v>
      </c>
      <c r="M769" t="s">
        <v>39</v>
      </c>
      <c r="N769" s="1" t="s">
        <v>21</v>
      </c>
      <c r="O769" s="1" t="str">
        <f>IF(OR(TBL_Employees[[#This Row],[Exit Date]],FALSE),"Left employees", "Current employees")</f>
        <v>Current employees</v>
      </c>
    </row>
    <row r="770" spans="1:15" x14ac:dyDescent="0.35">
      <c r="A770" t="s">
        <v>139</v>
      </c>
      <c r="B770" t="s">
        <v>1620</v>
      </c>
      <c r="C770" t="s">
        <v>40</v>
      </c>
      <c r="D770" t="s">
        <v>65</v>
      </c>
      <c r="E770" t="s">
        <v>16</v>
      </c>
      <c r="F770" t="s">
        <v>17</v>
      </c>
      <c r="G770" t="s">
        <v>18</v>
      </c>
      <c r="H770">
        <v>42</v>
      </c>
      <c r="I770" s="1">
        <v>39968</v>
      </c>
      <c r="J770" s="2">
        <v>174099</v>
      </c>
      <c r="K770" s="3">
        <v>0.26</v>
      </c>
      <c r="L770" t="s">
        <v>19</v>
      </c>
      <c r="M770" t="s">
        <v>25</v>
      </c>
      <c r="N770" s="1" t="s">
        <v>21</v>
      </c>
      <c r="O770" s="1" t="str">
        <f>IF(OR(TBL_Employees[[#This Row],[Exit Date]],FALSE),"Left employees", "Current employees")</f>
        <v>Current employees</v>
      </c>
    </row>
    <row r="771" spans="1:15" x14ac:dyDescent="0.35">
      <c r="A771" t="s">
        <v>220</v>
      </c>
      <c r="B771" t="s">
        <v>1621</v>
      </c>
      <c r="C771" t="s">
        <v>61</v>
      </c>
      <c r="D771" t="s">
        <v>15</v>
      </c>
      <c r="E771" t="s">
        <v>36</v>
      </c>
      <c r="F771" t="s">
        <v>28</v>
      </c>
      <c r="G771" t="s">
        <v>24</v>
      </c>
      <c r="H771">
        <v>63</v>
      </c>
      <c r="I771" s="1">
        <v>37295</v>
      </c>
      <c r="J771" s="2">
        <v>128703</v>
      </c>
      <c r="K771" s="3">
        <v>0.13</v>
      </c>
      <c r="L771" t="s">
        <v>19</v>
      </c>
      <c r="M771" t="s">
        <v>25</v>
      </c>
      <c r="N771" s="1" t="s">
        <v>21</v>
      </c>
      <c r="O771" s="1" t="str">
        <f>IF(OR(TBL_Employees[[#This Row],[Exit Date]],FALSE),"Left employees", "Current employees")</f>
        <v>Current employees</v>
      </c>
    </row>
    <row r="772" spans="1:15" x14ac:dyDescent="0.35">
      <c r="A772" t="s">
        <v>1622</v>
      </c>
      <c r="B772" t="s">
        <v>1623</v>
      </c>
      <c r="C772" t="s">
        <v>129</v>
      </c>
      <c r="D772" t="s">
        <v>31</v>
      </c>
      <c r="E772" t="s">
        <v>32</v>
      </c>
      <c r="F772" t="s">
        <v>17</v>
      </c>
      <c r="G772" t="s">
        <v>18</v>
      </c>
      <c r="H772">
        <v>32</v>
      </c>
      <c r="I772" s="1">
        <v>42317</v>
      </c>
      <c r="J772" s="2">
        <v>65247</v>
      </c>
      <c r="K772" s="3">
        <v>0</v>
      </c>
      <c r="L772" t="s">
        <v>19</v>
      </c>
      <c r="M772" t="s">
        <v>39</v>
      </c>
      <c r="N772" s="1" t="s">
        <v>21</v>
      </c>
      <c r="O772" s="1" t="str">
        <f>IF(OR(TBL_Employees[[#This Row],[Exit Date]],FALSE),"Left employees", "Current employees")</f>
        <v>Current employees</v>
      </c>
    </row>
    <row r="773" spans="1:15" x14ac:dyDescent="0.35">
      <c r="A773" t="s">
        <v>1624</v>
      </c>
      <c r="B773" t="s">
        <v>1625</v>
      </c>
      <c r="C773" t="s">
        <v>30</v>
      </c>
      <c r="D773" t="s">
        <v>31</v>
      </c>
      <c r="E773" t="s">
        <v>16</v>
      </c>
      <c r="F773" t="s">
        <v>28</v>
      </c>
      <c r="G773" t="s">
        <v>51</v>
      </c>
      <c r="H773">
        <v>27</v>
      </c>
      <c r="I773" s="1">
        <v>43371</v>
      </c>
      <c r="J773" s="2">
        <v>64247</v>
      </c>
      <c r="K773" s="3">
        <v>0</v>
      </c>
      <c r="L773" t="s">
        <v>52</v>
      </c>
      <c r="M773" t="s">
        <v>66</v>
      </c>
      <c r="N773" s="1" t="s">
        <v>21</v>
      </c>
      <c r="O773" s="1" t="str">
        <f>IF(OR(TBL_Employees[[#This Row],[Exit Date]],FALSE),"Left employees", "Current employees")</f>
        <v>Current employees</v>
      </c>
    </row>
    <row r="774" spans="1:15" x14ac:dyDescent="0.35">
      <c r="A774" t="s">
        <v>1626</v>
      </c>
      <c r="B774" t="s">
        <v>1627</v>
      </c>
      <c r="C774" t="s">
        <v>62</v>
      </c>
      <c r="D774" t="s">
        <v>23</v>
      </c>
      <c r="E774" t="s">
        <v>16</v>
      </c>
      <c r="F774" t="s">
        <v>17</v>
      </c>
      <c r="G774" t="s">
        <v>18</v>
      </c>
      <c r="H774">
        <v>33</v>
      </c>
      <c r="I774" s="1">
        <v>41071</v>
      </c>
      <c r="J774" s="2">
        <v>118253</v>
      </c>
      <c r="K774" s="3">
        <v>0.08</v>
      </c>
      <c r="L774" t="s">
        <v>19</v>
      </c>
      <c r="M774" t="s">
        <v>25</v>
      </c>
      <c r="N774" s="1" t="s">
        <v>21</v>
      </c>
      <c r="O774" s="1" t="str">
        <f>IF(OR(TBL_Employees[[#This Row],[Exit Date]],FALSE),"Left employees", "Current employees")</f>
        <v>Current employees</v>
      </c>
    </row>
    <row r="775" spans="1:15" x14ac:dyDescent="0.35">
      <c r="A775" t="s">
        <v>1628</v>
      </c>
      <c r="B775" t="s">
        <v>1629</v>
      </c>
      <c r="C775" t="s">
        <v>69</v>
      </c>
      <c r="D775" t="s">
        <v>31</v>
      </c>
      <c r="E775" t="s">
        <v>36</v>
      </c>
      <c r="F775" t="s">
        <v>17</v>
      </c>
      <c r="G775" t="s">
        <v>24</v>
      </c>
      <c r="H775">
        <v>45</v>
      </c>
      <c r="I775" s="1">
        <v>38057</v>
      </c>
      <c r="J775" s="2">
        <v>109422</v>
      </c>
      <c r="K775" s="3">
        <v>0</v>
      </c>
      <c r="L775" t="s">
        <v>33</v>
      </c>
      <c r="M775" t="s">
        <v>80</v>
      </c>
      <c r="N775" s="1" t="s">
        <v>21</v>
      </c>
      <c r="O775" s="1" t="str">
        <f>IF(OR(TBL_Employees[[#This Row],[Exit Date]],FALSE),"Left employees", "Current employees")</f>
        <v>Current employees</v>
      </c>
    </row>
    <row r="776" spans="1:15" x14ac:dyDescent="0.35">
      <c r="A776" t="s">
        <v>1630</v>
      </c>
      <c r="B776" t="s">
        <v>1631</v>
      </c>
      <c r="C776" t="s">
        <v>62</v>
      </c>
      <c r="D776" t="s">
        <v>23</v>
      </c>
      <c r="E776" t="s">
        <v>32</v>
      </c>
      <c r="F776" t="s">
        <v>28</v>
      </c>
      <c r="G776" t="s">
        <v>24</v>
      </c>
      <c r="H776">
        <v>41</v>
      </c>
      <c r="I776" s="1">
        <v>43502</v>
      </c>
      <c r="J776" s="2">
        <v>126950</v>
      </c>
      <c r="K776" s="3">
        <v>0.1</v>
      </c>
      <c r="L776" t="s">
        <v>19</v>
      </c>
      <c r="M776" t="s">
        <v>20</v>
      </c>
      <c r="N776" s="1" t="s">
        <v>21</v>
      </c>
      <c r="O776" s="1" t="str">
        <f>IF(OR(TBL_Employees[[#This Row],[Exit Date]],FALSE),"Left employees", "Current employees")</f>
        <v>Current employees</v>
      </c>
    </row>
    <row r="777" spans="1:15" x14ac:dyDescent="0.35">
      <c r="A777" t="s">
        <v>1632</v>
      </c>
      <c r="B777" t="s">
        <v>1633</v>
      </c>
      <c r="C777" t="s">
        <v>26</v>
      </c>
      <c r="D777" t="s">
        <v>27</v>
      </c>
      <c r="E777" t="s">
        <v>36</v>
      </c>
      <c r="F777" t="s">
        <v>17</v>
      </c>
      <c r="G777" t="s">
        <v>24</v>
      </c>
      <c r="H777">
        <v>36</v>
      </c>
      <c r="I777" s="1">
        <v>41964</v>
      </c>
      <c r="J777" s="2">
        <v>97500</v>
      </c>
      <c r="K777" s="3">
        <v>0</v>
      </c>
      <c r="L777" t="s">
        <v>19</v>
      </c>
      <c r="M777" t="s">
        <v>45</v>
      </c>
      <c r="N777" s="1" t="s">
        <v>21</v>
      </c>
      <c r="O777" s="1" t="str">
        <f>IF(OR(TBL_Employees[[#This Row],[Exit Date]],FALSE),"Left employees", "Current employees")</f>
        <v>Current employees</v>
      </c>
    </row>
    <row r="778" spans="1:15" x14ac:dyDescent="0.35">
      <c r="A778" t="s">
        <v>1634</v>
      </c>
      <c r="B778" t="s">
        <v>1635</v>
      </c>
      <c r="C778" t="s">
        <v>73</v>
      </c>
      <c r="D778" t="s">
        <v>27</v>
      </c>
      <c r="E778" t="s">
        <v>36</v>
      </c>
      <c r="F778" t="s">
        <v>28</v>
      </c>
      <c r="G778" t="s">
        <v>24</v>
      </c>
      <c r="H778">
        <v>25</v>
      </c>
      <c r="I778" s="1">
        <v>44213</v>
      </c>
      <c r="J778" s="2">
        <v>41844</v>
      </c>
      <c r="K778" s="3">
        <v>0</v>
      </c>
      <c r="L778" t="s">
        <v>33</v>
      </c>
      <c r="M778" t="s">
        <v>80</v>
      </c>
      <c r="N778" s="1" t="s">
        <v>21</v>
      </c>
      <c r="O778" s="1" t="str">
        <f>IF(OR(TBL_Employees[[#This Row],[Exit Date]],FALSE),"Left employees", "Current employees")</f>
        <v>Current employees</v>
      </c>
    </row>
    <row r="779" spans="1:15" x14ac:dyDescent="0.35">
      <c r="A779" t="s">
        <v>1636</v>
      </c>
      <c r="B779" t="s">
        <v>1637</v>
      </c>
      <c r="C779" t="s">
        <v>64</v>
      </c>
      <c r="D779" t="s">
        <v>65</v>
      </c>
      <c r="E779" t="s">
        <v>16</v>
      </c>
      <c r="F779" t="s">
        <v>28</v>
      </c>
      <c r="G779" t="s">
        <v>24</v>
      </c>
      <c r="H779">
        <v>43</v>
      </c>
      <c r="I779" s="1">
        <v>41680</v>
      </c>
      <c r="J779" s="2">
        <v>58875</v>
      </c>
      <c r="K779" s="3">
        <v>0</v>
      </c>
      <c r="L779" t="s">
        <v>33</v>
      </c>
      <c r="M779" t="s">
        <v>34</v>
      </c>
      <c r="N779" s="1" t="s">
        <v>21</v>
      </c>
      <c r="O779" s="1" t="str">
        <f>IF(OR(TBL_Employees[[#This Row],[Exit Date]],FALSE),"Left employees", "Current employees")</f>
        <v>Current employees</v>
      </c>
    </row>
    <row r="780" spans="1:15" x14ac:dyDescent="0.35">
      <c r="A780" t="s">
        <v>1638</v>
      </c>
      <c r="B780" t="s">
        <v>1639</v>
      </c>
      <c r="C780" t="s">
        <v>94</v>
      </c>
      <c r="D780" t="s">
        <v>50</v>
      </c>
      <c r="E780" t="s">
        <v>36</v>
      </c>
      <c r="F780" t="s">
        <v>17</v>
      </c>
      <c r="G780" t="s">
        <v>24</v>
      </c>
      <c r="H780">
        <v>37</v>
      </c>
      <c r="I780" s="1">
        <v>42318</v>
      </c>
      <c r="J780" s="2">
        <v>64204</v>
      </c>
      <c r="K780" s="3">
        <v>0</v>
      </c>
      <c r="L780" t="s">
        <v>19</v>
      </c>
      <c r="M780" t="s">
        <v>29</v>
      </c>
      <c r="N780" s="1">
        <v>44306</v>
      </c>
      <c r="O780" s="1" t="str">
        <f>IF(OR(TBL_Employees[[#This Row],[Exit Date]],FALSE),"Left employees", "Current employees")</f>
        <v>Left employees</v>
      </c>
    </row>
    <row r="781" spans="1:15" x14ac:dyDescent="0.35">
      <c r="A781" t="s">
        <v>1640</v>
      </c>
      <c r="B781" t="s">
        <v>1641</v>
      </c>
      <c r="C781" t="s">
        <v>64</v>
      </c>
      <c r="D781" t="s">
        <v>50</v>
      </c>
      <c r="E781" t="s">
        <v>32</v>
      </c>
      <c r="F781" t="s">
        <v>17</v>
      </c>
      <c r="G781" t="s">
        <v>24</v>
      </c>
      <c r="H781">
        <v>42</v>
      </c>
      <c r="I781" s="1">
        <v>40307</v>
      </c>
      <c r="J781" s="2">
        <v>67743</v>
      </c>
      <c r="K781" s="3">
        <v>0</v>
      </c>
      <c r="L781" t="s">
        <v>33</v>
      </c>
      <c r="M781" t="s">
        <v>60</v>
      </c>
      <c r="N781" s="1">
        <v>41998</v>
      </c>
      <c r="O781" s="1" t="str">
        <f>IF(OR(TBL_Employees[[#This Row],[Exit Date]],FALSE),"Left employees", "Current employees")</f>
        <v>Left employees</v>
      </c>
    </row>
    <row r="782" spans="1:15" x14ac:dyDescent="0.35">
      <c r="A782" t="s">
        <v>1642</v>
      </c>
      <c r="B782" t="s">
        <v>1345</v>
      </c>
      <c r="C782" t="s">
        <v>49</v>
      </c>
      <c r="D782" t="s">
        <v>50</v>
      </c>
      <c r="E782" t="s">
        <v>44</v>
      </c>
      <c r="F782" t="s">
        <v>17</v>
      </c>
      <c r="G782" t="s">
        <v>47</v>
      </c>
      <c r="H782">
        <v>60</v>
      </c>
      <c r="I782" s="1">
        <v>35641</v>
      </c>
      <c r="J782" s="2">
        <v>71677</v>
      </c>
      <c r="K782" s="3">
        <v>0</v>
      </c>
      <c r="L782" t="s">
        <v>19</v>
      </c>
      <c r="M782" t="s">
        <v>29</v>
      </c>
      <c r="N782" s="1" t="s">
        <v>21</v>
      </c>
      <c r="O782" s="1" t="str">
        <f>IF(OR(TBL_Employees[[#This Row],[Exit Date]],FALSE),"Left employees", "Current employees")</f>
        <v>Current employees</v>
      </c>
    </row>
    <row r="783" spans="1:15" x14ac:dyDescent="0.35">
      <c r="A783" t="s">
        <v>300</v>
      </c>
      <c r="B783" t="s">
        <v>1643</v>
      </c>
      <c r="C783" t="s">
        <v>73</v>
      </c>
      <c r="D783" t="s">
        <v>27</v>
      </c>
      <c r="E783" t="s">
        <v>44</v>
      </c>
      <c r="F783" t="s">
        <v>28</v>
      </c>
      <c r="G783" t="s">
        <v>24</v>
      </c>
      <c r="H783">
        <v>61</v>
      </c>
      <c r="I783" s="1">
        <v>36793</v>
      </c>
      <c r="J783" s="2">
        <v>40063</v>
      </c>
      <c r="K783" s="3">
        <v>0</v>
      </c>
      <c r="L783" t="s">
        <v>19</v>
      </c>
      <c r="M783" t="s">
        <v>45</v>
      </c>
      <c r="N783" s="1" t="s">
        <v>21</v>
      </c>
      <c r="O783" s="1" t="str">
        <f>IF(OR(TBL_Employees[[#This Row],[Exit Date]],FALSE),"Left employees", "Current employees")</f>
        <v>Current employees</v>
      </c>
    </row>
    <row r="784" spans="1:15" x14ac:dyDescent="0.35">
      <c r="A784" t="s">
        <v>363</v>
      </c>
      <c r="B784" t="s">
        <v>1644</v>
      </c>
      <c r="C784" t="s">
        <v>73</v>
      </c>
      <c r="D784" t="s">
        <v>27</v>
      </c>
      <c r="E784" t="s">
        <v>36</v>
      </c>
      <c r="F784" t="s">
        <v>17</v>
      </c>
      <c r="G784" t="s">
        <v>18</v>
      </c>
      <c r="H784">
        <v>55</v>
      </c>
      <c r="I784" s="1">
        <v>38107</v>
      </c>
      <c r="J784" s="2">
        <v>40124</v>
      </c>
      <c r="K784" s="3">
        <v>0</v>
      </c>
      <c r="L784" t="s">
        <v>19</v>
      </c>
      <c r="M784" t="s">
        <v>25</v>
      </c>
      <c r="N784" s="1" t="s">
        <v>21</v>
      </c>
      <c r="O784" s="1" t="str">
        <f>IF(OR(TBL_Employees[[#This Row],[Exit Date]],FALSE),"Left employees", "Current employees")</f>
        <v>Current employees</v>
      </c>
    </row>
    <row r="785" spans="1:15" x14ac:dyDescent="0.35">
      <c r="A785" t="s">
        <v>344</v>
      </c>
      <c r="B785" t="s">
        <v>1645</v>
      </c>
      <c r="C785" t="s">
        <v>59</v>
      </c>
      <c r="D785" t="s">
        <v>31</v>
      </c>
      <c r="E785" t="s">
        <v>36</v>
      </c>
      <c r="F785" t="s">
        <v>28</v>
      </c>
      <c r="G785" t="s">
        <v>24</v>
      </c>
      <c r="H785">
        <v>57</v>
      </c>
      <c r="I785" s="1">
        <v>43157</v>
      </c>
      <c r="J785" s="2">
        <v>103183</v>
      </c>
      <c r="K785" s="3">
        <v>0</v>
      </c>
      <c r="L785" t="s">
        <v>19</v>
      </c>
      <c r="M785" t="s">
        <v>25</v>
      </c>
      <c r="N785" s="1">
        <v>44386</v>
      </c>
      <c r="O785" s="1" t="str">
        <f>IF(OR(TBL_Employees[[#This Row],[Exit Date]],FALSE),"Left employees", "Current employees")</f>
        <v>Left employees</v>
      </c>
    </row>
    <row r="786" spans="1:15" x14ac:dyDescent="0.35">
      <c r="A786" t="s">
        <v>176</v>
      </c>
      <c r="B786" t="s">
        <v>1646</v>
      </c>
      <c r="C786" t="s">
        <v>98</v>
      </c>
      <c r="D786" t="s">
        <v>27</v>
      </c>
      <c r="E786" t="s">
        <v>32</v>
      </c>
      <c r="F786" t="s">
        <v>28</v>
      </c>
      <c r="G786" t="s">
        <v>24</v>
      </c>
      <c r="H786">
        <v>54</v>
      </c>
      <c r="I786" s="1">
        <v>35961</v>
      </c>
      <c r="J786" s="2">
        <v>95239</v>
      </c>
      <c r="K786" s="3">
        <v>0</v>
      </c>
      <c r="L786" t="s">
        <v>19</v>
      </c>
      <c r="M786" t="s">
        <v>39</v>
      </c>
      <c r="N786" s="1" t="s">
        <v>21</v>
      </c>
      <c r="O786" s="1" t="str">
        <f>IF(OR(TBL_Employees[[#This Row],[Exit Date]],FALSE),"Left employees", "Current employees")</f>
        <v>Current employees</v>
      </c>
    </row>
    <row r="787" spans="1:15" x14ac:dyDescent="0.35">
      <c r="A787" t="s">
        <v>1647</v>
      </c>
      <c r="B787" t="s">
        <v>1418</v>
      </c>
      <c r="C787" t="s">
        <v>86</v>
      </c>
      <c r="D787" t="s">
        <v>31</v>
      </c>
      <c r="E787" t="s">
        <v>36</v>
      </c>
      <c r="F787" t="s">
        <v>17</v>
      </c>
      <c r="G787" t="s">
        <v>24</v>
      </c>
      <c r="H787">
        <v>29</v>
      </c>
      <c r="I787" s="1">
        <v>43778</v>
      </c>
      <c r="J787" s="2">
        <v>75012</v>
      </c>
      <c r="K787" s="3">
        <v>0</v>
      </c>
      <c r="L787" t="s">
        <v>19</v>
      </c>
      <c r="M787" t="s">
        <v>20</v>
      </c>
      <c r="N787" s="1" t="s">
        <v>21</v>
      </c>
      <c r="O787" s="1" t="str">
        <f>IF(OR(TBL_Employees[[#This Row],[Exit Date]],FALSE),"Left employees", "Current employees")</f>
        <v>Current employees</v>
      </c>
    </row>
    <row r="788" spans="1:15" x14ac:dyDescent="0.35">
      <c r="A788" t="s">
        <v>1648</v>
      </c>
      <c r="B788" t="s">
        <v>1649</v>
      </c>
      <c r="C788" t="s">
        <v>71</v>
      </c>
      <c r="D788" t="s">
        <v>27</v>
      </c>
      <c r="E788" t="s">
        <v>36</v>
      </c>
      <c r="F788" t="s">
        <v>17</v>
      </c>
      <c r="G788" t="s">
        <v>24</v>
      </c>
      <c r="H788">
        <v>33</v>
      </c>
      <c r="I788" s="1">
        <v>41819</v>
      </c>
      <c r="J788" s="2">
        <v>96366</v>
      </c>
      <c r="K788" s="3">
        <v>0</v>
      </c>
      <c r="L788" t="s">
        <v>33</v>
      </c>
      <c r="M788" t="s">
        <v>34</v>
      </c>
      <c r="N788" s="1" t="s">
        <v>21</v>
      </c>
      <c r="O788" s="1" t="str">
        <f>IF(OR(TBL_Employees[[#This Row],[Exit Date]],FALSE),"Left employees", "Current employees")</f>
        <v>Current employees</v>
      </c>
    </row>
    <row r="789" spans="1:15" x14ac:dyDescent="0.35">
      <c r="A789" t="s">
        <v>1650</v>
      </c>
      <c r="B789" t="s">
        <v>1651</v>
      </c>
      <c r="C789" t="s">
        <v>68</v>
      </c>
      <c r="D789" t="s">
        <v>43</v>
      </c>
      <c r="E789" t="s">
        <v>32</v>
      </c>
      <c r="F789" t="s">
        <v>17</v>
      </c>
      <c r="G789" t="s">
        <v>24</v>
      </c>
      <c r="H789">
        <v>39</v>
      </c>
      <c r="I789" s="1">
        <v>41849</v>
      </c>
      <c r="J789" s="2">
        <v>40897</v>
      </c>
      <c r="K789" s="3">
        <v>0</v>
      </c>
      <c r="L789" t="s">
        <v>19</v>
      </c>
      <c r="M789" t="s">
        <v>63</v>
      </c>
      <c r="N789" s="1" t="s">
        <v>21</v>
      </c>
      <c r="O789" s="1" t="str">
        <f>IF(OR(TBL_Employees[[#This Row],[Exit Date]],FALSE),"Left employees", "Current employees")</f>
        <v>Current employees</v>
      </c>
    </row>
    <row r="790" spans="1:15" x14ac:dyDescent="0.35">
      <c r="A790" t="s">
        <v>1652</v>
      </c>
      <c r="B790" t="s">
        <v>130</v>
      </c>
      <c r="C790" t="s">
        <v>62</v>
      </c>
      <c r="D790" t="s">
        <v>15</v>
      </c>
      <c r="E790" t="s">
        <v>16</v>
      </c>
      <c r="F790" t="s">
        <v>17</v>
      </c>
      <c r="G790" t="s">
        <v>24</v>
      </c>
      <c r="H790">
        <v>37</v>
      </c>
      <c r="I790" s="1">
        <v>42605</v>
      </c>
      <c r="J790" s="2">
        <v>124928</v>
      </c>
      <c r="K790" s="3">
        <v>0.06</v>
      </c>
      <c r="L790" t="s">
        <v>33</v>
      </c>
      <c r="M790" t="s">
        <v>80</v>
      </c>
      <c r="N790" s="1" t="s">
        <v>21</v>
      </c>
      <c r="O790" s="1" t="str">
        <f>IF(OR(TBL_Employees[[#This Row],[Exit Date]],FALSE),"Left employees", "Current employees")</f>
        <v>Current employees</v>
      </c>
    </row>
    <row r="791" spans="1:15" x14ac:dyDescent="0.35">
      <c r="A791" t="s">
        <v>1653</v>
      </c>
      <c r="B791" t="s">
        <v>1654</v>
      </c>
      <c r="C791" t="s">
        <v>62</v>
      </c>
      <c r="D791" t="s">
        <v>15</v>
      </c>
      <c r="E791" t="s">
        <v>44</v>
      </c>
      <c r="F791" t="s">
        <v>17</v>
      </c>
      <c r="G791" t="s">
        <v>51</v>
      </c>
      <c r="H791">
        <v>51</v>
      </c>
      <c r="I791" s="1">
        <v>41439</v>
      </c>
      <c r="J791" s="2">
        <v>108221</v>
      </c>
      <c r="K791" s="3">
        <v>0.05</v>
      </c>
      <c r="L791" t="s">
        <v>52</v>
      </c>
      <c r="M791" t="s">
        <v>81</v>
      </c>
      <c r="N791" s="1" t="s">
        <v>21</v>
      </c>
      <c r="O791" s="1" t="str">
        <f>IF(OR(TBL_Employees[[#This Row],[Exit Date]],FALSE),"Left employees", "Current employees")</f>
        <v>Current employees</v>
      </c>
    </row>
    <row r="792" spans="1:15" x14ac:dyDescent="0.35">
      <c r="A792" t="s">
        <v>754</v>
      </c>
      <c r="B792" t="s">
        <v>1655</v>
      </c>
      <c r="C792" t="s">
        <v>77</v>
      </c>
      <c r="D792" t="s">
        <v>23</v>
      </c>
      <c r="E792" t="s">
        <v>32</v>
      </c>
      <c r="F792" t="s">
        <v>28</v>
      </c>
      <c r="G792" t="s">
        <v>18</v>
      </c>
      <c r="H792">
        <v>46</v>
      </c>
      <c r="I792" s="1">
        <v>39133</v>
      </c>
      <c r="J792" s="2">
        <v>75579</v>
      </c>
      <c r="K792" s="3">
        <v>0</v>
      </c>
      <c r="L792" t="s">
        <v>19</v>
      </c>
      <c r="M792" t="s">
        <v>63</v>
      </c>
      <c r="N792" s="1" t="s">
        <v>21</v>
      </c>
      <c r="O792" s="1" t="str">
        <f>IF(OR(TBL_Employees[[#This Row],[Exit Date]],FALSE),"Left employees", "Current employees")</f>
        <v>Current employees</v>
      </c>
    </row>
    <row r="793" spans="1:15" x14ac:dyDescent="0.35">
      <c r="A793" t="s">
        <v>1656</v>
      </c>
      <c r="B793" t="s">
        <v>1657</v>
      </c>
      <c r="C793" t="s">
        <v>61</v>
      </c>
      <c r="D793" t="s">
        <v>23</v>
      </c>
      <c r="E793" t="s">
        <v>36</v>
      </c>
      <c r="F793" t="s">
        <v>28</v>
      </c>
      <c r="G793" t="s">
        <v>51</v>
      </c>
      <c r="H793">
        <v>41</v>
      </c>
      <c r="I793" s="1">
        <v>42365</v>
      </c>
      <c r="J793" s="2">
        <v>129903</v>
      </c>
      <c r="K793" s="3">
        <v>0.13</v>
      </c>
      <c r="L793" t="s">
        <v>52</v>
      </c>
      <c r="M793" t="s">
        <v>53</v>
      </c>
      <c r="N793" s="1" t="s">
        <v>21</v>
      </c>
      <c r="O793" s="1" t="str">
        <f>IF(OR(TBL_Employees[[#This Row],[Exit Date]],FALSE),"Left employees", "Current employees")</f>
        <v>Current employees</v>
      </c>
    </row>
    <row r="794" spans="1:15" x14ac:dyDescent="0.35">
      <c r="A794" t="s">
        <v>266</v>
      </c>
      <c r="B794" t="s">
        <v>1658</v>
      </c>
      <c r="C794" t="s">
        <v>40</v>
      </c>
      <c r="D794" t="s">
        <v>15</v>
      </c>
      <c r="E794" t="s">
        <v>16</v>
      </c>
      <c r="F794" t="s">
        <v>17</v>
      </c>
      <c r="G794" t="s">
        <v>24</v>
      </c>
      <c r="H794">
        <v>25</v>
      </c>
      <c r="I794" s="1">
        <v>44303</v>
      </c>
      <c r="J794" s="2">
        <v>186870</v>
      </c>
      <c r="K794" s="3">
        <v>0.2</v>
      </c>
      <c r="L794" t="s">
        <v>33</v>
      </c>
      <c r="M794" t="s">
        <v>74</v>
      </c>
      <c r="N794" s="1" t="s">
        <v>21</v>
      </c>
      <c r="O794" s="1" t="str">
        <f>IF(OR(TBL_Employees[[#This Row],[Exit Date]],FALSE),"Left employees", "Current employees")</f>
        <v>Current employees</v>
      </c>
    </row>
    <row r="795" spans="1:15" x14ac:dyDescent="0.35">
      <c r="A795" t="s">
        <v>1659</v>
      </c>
      <c r="B795" t="s">
        <v>1660</v>
      </c>
      <c r="C795" t="s">
        <v>64</v>
      </c>
      <c r="D795" t="s">
        <v>50</v>
      </c>
      <c r="E795" t="s">
        <v>16</v>
      </c>
      <c r="F795" t="s">
        <v>28</v>
      </c>
      <c r="G795" t="s">
        <v>18</v>
      </c>
      <c r="H795">
        <v>37</v>
      </c>
      <c r="I795" s="1">
        <v>40291</v>
      </c>
      <c r="J795" s="2">
        <v>57531</v>
      </c>
      <c r="K795" s="3">
        <v>0</v>
      </c>
      <c r="L795" t="s">
        <v>19</v>
      </c>
      <c r="M795" t="s">
        <v>20</v>
      </c>
      <c r="N795" s="1" t="s">
        <v>21</v>
      </c>
      <c r="O795" s="1" t="str">
        <f>IF(OR(TBL_Employees[[#This Row],[Exit Date]],FALSE),"Left employees", "Current employees")</f>
        <v>Current employees</v>
      </c>
    </row>
    <row r="796" spans="1:15" x14ac:dyDescent="0.35">
      <c r="A796" t="s">
        <v>1661</v>
      </c>
      <c r="B796" t="s">
        <v>1662</v>
      </c>
      <c r="C796" t="s">
        <v>68</v>
      </c>
      <c r="D796" t="s">
        <v>15</v>
      </c>
      <c r="E796" t="s">
        <v>16</v>
      </c>
      <c r="F796" t="s">
        <v>28</v>
      </c>
      <c r="G796" t="s">
        <v>24</v>
      </c>
      <c r="H796">
        <v>46</v>
      </c>
      <c r="I796" s="1">
        <v>40657</v>
      </c>
      <c r="J796" s="2">
        <v>55894</v>
      </c>
      <c r="K796" s="3">
        <v>0</v>
      </c>
      <c r="L796" t="s">
        <v>19</v>
      </c>
      <c r="M796" t="s">
        <v>63</v>
      </c>
      <c r="N796" s="1" t="s">
        <v>21</v>
      </c>
      <c r="O796" s="1" t="str">
        <f>IF(OR(TBL_Employees[[#This Row],[Exit Date]],FALSE),"Left employees", "Current employees")</f>
        <v>Current employees</v>
      </c>
    </row>
    <row r="797" spans="1:15" x14ac:dyDescent="0.35">
      <c r="A797" t="s">
        <v>1663</v>
      </c>
      <c r="B797" t="s">
        <v>1664</v>
      </c>
      <c r="C797" t="s">
        <v>129</v>
      </c>
      <c r="D797" t="s">
        <v>31</v>
      </c>
      <c r="E797" t="s">
        <v>36</v>
      </c>
      <c r="F797" t="s">
        <v>17</v>
      </c>
      <c r="G797" t="s">
        <v>24</v>
      </c>
      <c r="H797">
        <v>42</v>
      </c>
      <c r="I797" s="1">
        <v>41026</v>
      </c>
      <c r="J797" s="2">
        <v>72903</v>
      </c>
      <c r="K797" s="3">
        <v>0</v>
      </c>
      <c r="L797" t="s">
        <v>19</v>
      </c>
      <c r="M797" t="s">
        <v>39</v>
      </c>
      <c r="N797" s="1" t="s">
        <v>21</v>
      </c>
      <c r="O797" s="1" t="str">
        <f>IF(OR(TBL_Employees[[#This Row],[Exit Date]],FALSE),"Left employees", "Current employees")</f>
        <v>Current employees</v>
      </c>
    </row>
    <row r="798" spans="1:15" x14ac:dyDescent="0.35">
      <c r="A798" t="s">
        <v>729</v>
      </c>
      <c r="B798" t="s">
        <v>1665</v>
      </c>
      <c r="C798" t="s">
        <v>68</v>
      </c>
      <c r="D798" t="s">
        <v>15</v>
      </c>
      <c r="E798" t="s">
        <v>32</v>
      </c>
      <c r="F798" t="s">
        <v>28</v>
      </c>
      <c r="G798" t="s">
        <v>24</v>
      </c>
      <c r="H798">
        <v>37</v>
      </c>
      <c r="I798" s="1">
        <v>42317</v>
      </c>
      <c r="J798" s="2">
        <v>45369</v>
      </c>
      <c r="K798" s="3">
        <v>0</v>
      </c>
      <c r="L798" t="s">
        <v>33</v>
      </c>
      <c r="M798" t="s">
        <v>60</v>
      </c>
      <c r="N798" s="1" t="s">
        <v>21</v>
      </c>
      <c r="O798" s="1" t="str">
        <f>IF(OR(TBL_Employees[[#This Row],[Exit Date]],FALSE),"Left employees", "Current employees")</f>
        <v>Current employees</v>
      </c>
    </row>
    <row r="799" spans="1:15" x14ac:dyDescent="0.35">
      <c r="A799" t="s">
        <v>153</v>
      </c>
      <c r="B799" t="s">
        <v>1666</v>
      </c>
      <c r="C799" t="s">
        <v>62</v>
      </c>
      <c r="D799" t="s">
        <v>15</v>
      </c>
      <c r="E799" t="s">
        <v>44</v>
      </c>
      <c r="F799" t="s">
        <v>28</v>
      </c>
      <c r="G799" t="s">
        <v>18</v>
      </c>
      <c r="H799">
        <v>60</v>
      </c>
      <c r="I799" s="1">
        <v>40344</v>
      </c>
      <c r="J799" s="2">
        <v>106578</v>
      </c>
      <c r="K799" s="3">
        <v>0.09</v>
      </c>
      <c r="L799" t="s">
        <v>19</v>
      </c>
      <c r="M799" t="s">
        <v>45</v>
      </c>
      <c r="N799" s="1" t="s">
        <v>21</v>
      </c>
      <c r="O799" s="1" t="str">
        <f>IF(OR(TBL_Employees[[#This Row],[Exit Date]],FALSE),"Left employees", "Current employees")</f>
        <v>Current employees</v>
      </c>
    </row>
    <row r="800" spans="1:15" x14ac:dyDescent="0.35">
      <c r="A800" t="s">
        <v>125</v>
      </c>
      <c r="B800" t="s">
        <v>1667</v>
      </c>
      <c r="C800" t="s">
        <v>77</v>
      </c>
      <c r="D800" t="s">
        <v>23</v>
      </c>
      <c r="E800" t="s">
        <v>16</v>
      </c>
      <c r="F800" t="s">
        <v>17</v>
      </c>
      <c r="G800" t="s">
        <v>51</v>
      </c>
      <c r="H800">
        <v>52</v>
      </c>
      <c r="I800" s="1">
        <v>36416</v>
      </c>
      <c r="J800" s="2">
        <v>92994</v>
      </c>
      <c r="K800" s="3">
        <v>0</v>
      </c>
      <c r="L800" t="s">
        <v>19</v>
      </c>
      <c r="M800" t="s">
        <v>20</v>
      </c>
      <c r="N800" s="1" t="s">
        <v>21</v>
      </c>
      <c r="O800" s="1" t="str">
        <f>IF(OR(TBL_Employees[[#This Row],[Exit Date]],FALSE),"Left employees", "Current employees")</f>
        <v>Current employees</v>
      </c>
    </row>
    <row r="801" spans="1:15" x14ac:dyDescent="0.35">
      <c r="A801" t="s">
        <v>1668</v>
      </c>
      <c r="B801" t="s">
        <v>1669</v>
      </c>
      <c r="C801" t="s">
        <v>42</v>
      </c>
      <c r="D801" t="s">
        <v>50</v>
      </c>
      <c r="E801" t="s">
        <v>44</v>
      </c>
      <c r="F801" t="s">
        <v>28</v>
      </c>
      <c r="G801" t="s">
        <v>24</v>
      </c>
      <c r="H801">
        <v>59</v>
      </c>
      <c r="I801" s="1">
        <v>35502</v>
      </c>
      <c r="J801" s="2">
        <v>83685</v>
      </c>
      <c r="K801" s="3">
        <v>0</v>
      </c>
      <c r="L801" t="s">
        <v>33</v>
      </c>
      <c r="M801" t="s">
        <v>60</v>
      </c>
      <c r="N801" s="1" t="s">
        <v>21</v>
      </c>
      <c r="O801" s="1" t="str">
        <f>IF(OR(TBL_Employees[[#This Row],[Exit Date]],FALSE),"Left employees", "Current employees")</f>
        <v>Current employees</v>
      </c>
    </row>
    <row r="802" spans="1:15" x14ac:dyDescent="0.35">
      <c r="A802" t="s">
        <v>594</v>
      </c>
      <c r="B802" t="s">
        <v>1670</v>
      </c>
      <c r="C802" t="s">
        <v>38</v>
      </c>
      <c r="D802" t="s">
        <v>27</v>
      </c>
      <c r="E802" t="s">
        <v>16</v>
      </c>
      <c r="F802" t="s">
        <v>28</v>
      </c>
      <c r="G802" t="s">
        <v>18</v>
      </c>
      <c r="H802">
        <v>48</v>
      </c>
      <c r="I802" s="1">
        <v>40435</v>
      </c>
      <c r="J802" s="2">
        <v>99335</v>
      </c>
      <c r="K802" s="3">
        <v>0</v>
      </c>
      <c r="L802" t="s">
        <v>19</v>
      </c>
      <c r="M802" t="s">
        <v>39</v>
      </c>
      <c r="N802" s="1" t="s">
        <v>21</v>
      </c>
      <c r="O802" s="1" t="str">
        <f>IF(OR(TBL_Employees[[#This Row],[Exit Date]],FALSE),"Left employees", "Current employees")</f>
        <v>Current employees</v>
      </c>
    </row>
    <row r="803" spans="1:15" x14ac:dyDescent="0.35">
      <c r="A803" t="s">
        <v>1671</v>
      </c>
      <c r="B803" t="s">
        <v>1672</v>
      </c>
      <c r="C803" t="s">
        <v>61</v>
      </c>
      <c r="D803" t="s">
        <v>23</v>
      </c>
      <c r="E803" t="s">
        <v>36</v>
      </c>
      <c r="F803" t="s">
        <v>28</v>
      </c>
      <c r="G803" t="s">
        <v>18</v>
      </c>
      <c r="H803">
        <v>42</v>
      </c>
      <c r="I803" s="1">
        <v>41382</v>
      </c>
      <c r="J803" s="2">
        <v>131179</v>
      </c>
      <c r="K803" s="3">
        <v>0.15</v>
      </c>
      <c r="L803" t="s">
        <v>19</v>
      </c>
      <c r="M803" t="s">
        <v>29</v>
      </c>
      <c r="N803" s="1" t="s">
        <v>21</v>
      </c>
      <c r="O803" s="1" t="str">
        <f>IF(OR(TBL_Employees[[#This Row],[Exit Date]],FALSE),"Left employees", "Current employees")</f>
        <v>Current employees</v>
      </c>
    </row>
    <row r="804" spans="1:15" x14ac:dyDescent="0.35">
      <c r="A804" t="s">
        <v>1673</v>
      </c>
      <c r="B804" t="s">
        <v>1674</v>
      </c>
      <c r="C804" t="s">
        <v>56</v>
      </c>
      <c r="D804" t="s">
        <v>27</v>
      </c>
      <c r="E804" t="s">
        <v>44</v>
      </c>
      <c r="F804" t="s">
        <v>28</v>
      </c>
      <c r="G804" t="s">
        <v>24</v>
      </c>
      <c r="H804">
        <v>35</v>
      </c>
      <c r="I804" s="1">
        <v>42493</v>
      </c>
      <c r="J804" s="2">
        <v>73899</v>
      </c>
      <c r="K804" s="3">
        <v>0.05</v>
      </c>
      <c r="L804" t="s">
        <v>33</v>
      </c>
      <c r="M804" t="s">
        <v>34</v>
      </c>
      <c r="N804" s="1" t="s">
        <v>21</v>
      </c>
      <c r="O804" s="1" t="str">
        <f>IF(OR(TBL_Employees[[#This Row],[Exit Date]],FALSE),"Left employees", "Current employees")</f>
        <v>Current employees</v>
      </c>
    </row>
    <row r="805" spans="1:15" x14ac:dyDescent="0.35">
      <c r="A805" t="s">
        <v>1675</v>
      </c>
      <c r="B805" t="s">
        <v>1676</v>
      </c>
      <c r="C805" t="s">
        <v>14</v>
      </c>
      <c r="D805" t="s">
        <v>65</v>
      </c>
      <c r="E805" t="s">
        <v>36</v>
      </c>
      <c r="F805" t="s">
        <v>28</v>
      </c>
      <c r="G805" t="s">
        <v>24</v>
      </c>
      <c r="H805">
        <v>64</v>
      </c>
      <c r="I805" s="1">
        <v>41362</v>
      </c>
      <c r="J805" s="2">
        <v>252325</v>
      </c>
      <c r="K805" s="3">
        <v>0.4</v>
      </c>
      <c r="L805" t="s">
        <v>19</v>
      </c>
      <c r="M805" t="s">
        <v>29</v>
      </c>
      <c r="N805" s="1" t="s">
        <v>21</v>
      </c>
      <c r="O805" s="1" t="str">
        <f>IF(OR(TBL_Employees[[#This Row],[Exit Date]],FALSE),"Left employees", "Current employees")</f>
        <v>Current employees</v>
      </c>
    </row>
    <row r="806" spans="1:15" x14ac:dyDescent="0.35">
      <c r="A806" t="s">
        <v>290</v>
      </c>
      <c r="B806" t="s">
        <v>1677</v>
      </c>
      <c r="C806" t="s">
        <v>64</v>
      </c>
      <c r="D806" t="s">
        <v>15</v>
      </c>
      <c r="E806" t="s">
        <v>16</v>
      </c>
      <c r="F806" t="s">
        <v>17</v>
      </c>
      <c r="G806" t="s">
        <v>18</v>
      </c>
      <c r="H806">
        <v>30</v>
      </c>
      <c r="I806" s="1">
        <v>42068</v>
      </c>
      <c r="J806" s="2">
        <v>52697</v>
      </c>
      <c r="K806" s="3">
        <v>0</v>
      </c>
      <c r="L806" t="s">
        <v>19</v>
      </c>
      <c r="M806" t="s">
        <v>63</v>
      </c>
      <c r="N806" s="1" t="s">
        <v>21</v>
      </c>
      <c r="O806" s="1" t="str">
        <f>IF(OR(TBL_Employees[[#This Row],[Exit Date]],FALSE),"Left employees", "Current employees")</f>
        <v>Current employees</v>
      </c>
    </row>
    <row r="807" spans="1:15" x14ac:dyDescent="0.35">
      <c r="A807" t="s">
        <v>1611</v>
      </c>
      <c r="B807" t="s">
        <v>1678</v>
      </c>
      <c r="C807" t="s">
        <v>69</v>
      </c>
      <c r="D807" t="s">
        <v>31</v>
      </c>
      <c r="E807" t="s">
        <v>44</v>
      </c>
      <c r="F807" t="s">
        <v>17</v>
      </c>
      <c r="G807" t="s">
        <v>51</v>
      </c>
      <c r="H807">
        <v>29</v>
      </c>
      <c r="I807" s="1">
        <v>44099</v>
      </c>
      <c r="J807" s="2">
        <v>123588</v>
      </c>
      <c r="K807" s="3">
        <v>0</v>
      </c>
      <c r="L807" t="s">
        <v>52</v>
      </c>
      <c r="M807" t="s">
        <v>53</v>
      </c>
      <c r="N807" s="1" t="s">
        <v>21</v>
      </c>
      <c r="O807" s="1" t="str">
        <f>IF(OR(TBL_Employees[[#This Row],[Exit Date]],FALSE),"Left employees", "Current employees")</f>
        <v>Current employees</v>
      </c>
    </row>
    <row r="808" spans="1:15" x14ac:dyDescent="0.35">
      <c r="A808" t="s">
        <v>1679</v>
      </c>
      <c r="B808" t="s">
        <v>1680</v>
      </c>
      <c r="C808" t="s">
        <v>14</v>
      </c>
      <c r="D808" t="s">
        <v>65</v>
      </c>
      <c r="E808" t="s">
        <v>32</v>
      </c>
      <c r="F808" t="s">
        <v>17</v>
      </c>
      <c r="G808" t="s">
        <v>24</v>
      </c>
      <c r="H808">
        <v>47</v>
      </c>
      <c r="I808" s="1">
        <v>44556</v>
      </c>
      <c r="J808" s="2">
        <v>243568</v>
      </c>
      <c r="K808" s="3">
        <v>0.33</v>
      </c>
      <c r="L808" t="s">
        <v>19</v>
      </c>
      <c r="M808" t="s">
        <v>25</v>
      </c>
      <c r="N808" s="1" t="s">
        <v>21</v>
      </c>
      <c r="O808" s="1" t="str">
        <f>IF(OR(TBL_Employees[[#This Row],[Exit Date]],FALSE),"Left employees", "Current employees")</f>
        <v>Current employees</v>
      </c>
    </row>
    <row r="809" spans="1:15" x14ac:dyDescent="0.35">
      <c r="A809" t="s">
        <v>1340</v>
      </c>
      <c r="B809" t="s">
        <v>1681</v>
      </c>
      <c r="C809" t="s">
        <v>40</v>
      </c>
      <c r="D809" t="s">
        <v>50</v>
      </c>
      <c r="E809" t="s">
        <v>16</v>
      </c>
      <c r="F809" t="s">
        <v>28</v>
      </c>
      <c r="G809" t="s">
        <v>24</v>
      </c>
      <c r="H809">
        <v>49</v>
      </c>
      <c r="I809" s="1">
        <v>37092</v>
      </c>
      <c r="J809" s="2">
        <v>199176</v>
      </c>
      <c r="K809" s="3">
        <v>0.24</v>
      </c>
      <c r="L809" t="s">
        <v>19</v>
      </c>
      <c r="M809" t="s">
        <v>39</v>
      </c>
      <c r="N809" s="1" t="s">
        <v>21</v>
      </c>
      <c r="O809" s="1" t="str">
        <f>IF(OR(TBL_Employees[[#This Row],[Exit Date]],FALSE),"Left employees", "Current employees")</f>
        <v>Current employees</v>
      </c>
    </row>
    <row r="810" spans="1:15" x14ac:dyDescent="0.35">
      <c r="A810" t="s">
        <v>483</v>
      </c>
      <c r="B810" t="s">
        <v>1682</v>
      </c>
      <c r="C810" t="s">
        <v>55</v>
      </c>
      <c r="D810" t="s">
        <v>27</v>
      </c>
      <c r="E810" t="s">
        <v>44</v>
      </c>
      <c r="F810" t="s">
        <v>17</v>
      </c>
      <c r="G810" t="s">
        <v>24</v>
      </c>
      <c r="H810">
        <v>56</v>
      </c>
      <c r="I810" s="1">
        <v>35238</v>
      </c>
      <c r="J810" s="2">
        <v>82806</v>
      </c>
      <c r="K810" s="3">
        <v>0</v>
      </c>
      <c r="L810" t="s">
        <v>19</v>
      </c>
      <c r="M810" t="s">
        <v>63</v>
      </c>
      <c r="N810" s="1" t="s">
        <v>21</v>
      </c>
      <c r="O810" s="1" t="str">
        <f>IF(OR(TBL_Employees[[#This Row],[Exit Date]],FALSE),"Left employees", "Current employees")</f>
        <v>Current employees</v>
      </c>
    </row>
    <row r="811" spans="1:15" x14ac:dyDescent="0.35">
      <c r="A811" t="s">
        <v>1683</v>
      </c>
      <c r="B811" t="s">
        <v>1684</v>
      </c>
      <c r="C811" t="s">
        <v>40</v>
      </c>
      <c r="D811" t="s">
        <v>43</v>
      </c>
      <c r="E811" t="s">
        <v>44</v>
      </c>
      <c r="F811" t="s">
        <v>17</v>
      </c>
      <c r="G811" t="s">
        <v>24</v>
      </c>
      <c r="H811">
        <v>53</v>
      </c>
      <c r="I811" s="1">
        <v>35601</v>
      </c>
      <c r="J811" s="2">
        <v>164399</v>
      </c>
      <c r="K811" s="3">
        <v>0.25</v>
      </c>
      <c r="L811" t="s">
        <v>19</v>
      </c>
      <c r="M811" t="s">
        <v>63</v>
      </c>
      <c r="N811" s="1" t="s">
        <v>21</v>
      </c>
      <c r="O811" s="1" t="str">
        <f>IF(OR(TBL_Employees[[#This Row],[Exit Date]],FALSE),"Left employees", "Current employees")</f>
        <v>Current employees</v>
      </c>
    </row>
    <row r="812" spans="1:15" x14ac:dyDescent="0.35">
      <c r="A812" t="s">
        <v>215</v>
      </c>
      <c r="B812" t="s">
        <v>1685</v>
      </c>
      <c r="C812" t="s">
        <v>61</v>
      </c>
      <c r="D812" t="s">
        <v>23</v>
      </c>
      <c r="E812" t="s">
        <v>36</v>
      </c>
      <c r="F812" t="s">
        <v>17</v>
      </c>
      <c r="G812" t="s">
        <v>24</v>
      </c>
      <c r="H812">
        <v>32</v>
      </c>
      <c r="I812" s="1">
        <v>42839</v>
      </c>
      <c r="J812" s="2">
        <v>154956</v>
      </c>
      <c r="K812" s="3">
        <v>0.13</v>
      </c>
      <c r="L812" t="s">
        <v>19</v>
      </c>
      <c r="M812" t="s">
        <v>39</v>
      </c>
      <c r="N812" s="1" t="s">
        <v>21</v>
      </c>
      <c r="O812" s="1" t="str">
        <f>IF(OR(TBL_Employees[[#This Row],[Exit Date]],FALSE),"Left employees", "Current employees")</f>
        <v>Current employees</v>
      </c>
    </row>
    <row r="813" spans="1:15" x14ac:dyDescent="0.35">
      <c r="A813" t="s">
        <v>1686</v>
      </c>
      <c r="B813" t="s">
        <v>1687</v>
      </c>
      <c r="C813" t="s">
        <v>61</v>
      </c>
      <c r="D813" t="s">
        <v>43</v>
      </c>
      <c r="E813" t="s">
        <v>36</v>
      </c>
      <c r="F813" t="s">
        <v>28</v>
      </c>
      <c r="G813" t="s">
        <v>24</v>
      </c>
      <c r="H813">
        <v>32</v>
      </c>
      <c r="I813" s="1">
        <v>42764</v>
      </c>
      <c r="J813" s="2">
        <v>143970</v>
      </c>
      <c r="K813" s="3">
        <v>0.12</v>
      </c>
      <c r="L813" t="s">
        <v>19</v>
      </c>
      <c r="M813" t="s">
        <v>63</v>
      </c>
      <c r="N813" s="1">
        <v>43078</v>
      </c>
      <c r="O813" s="1" t="str">
        <f>IF(OR(TBL_Employees[[#This Row],[Exit Date]],FALSE),"Left employees", "Current employees")</f>
        <v>Left employees</v>
      </c>
    </row>
    <row r="814" spans="1:15" x14ac:dyDescent="0.35">
      <c r="A814" t="s">
        <v>314</v>
      </c>
      <c r="B814" t="s">
        <v>1688</v>
      </c>
      <c r="C814" t="s">
        <v>40</v>
      </c>
      <c r="D814" t="s">
        <v>50</v>
      </c>
      <c r="E814" t="s">
        <v>32</v>
      </c>
      <c r="F814" t="s">
        <v>28</v>
      </c>
      <c r="G814" t="s">
        <v>51</v>
      </c>
      <c r="H814">
        <v>52</v>
      </c>
      <c r="I814" s="1">
        <v>44099</v>
      </c>
      <c r="J814" s="2">
        <v>163143</v>
      </c>
      <c r="K814" s="3">
        <v>0.28000000000000003</v>
      </c>
      <c r="L814" t="s">
        <v>52</v>
      </c>
      <c r="M814" t="s">
        <v>53</v>
      </c>
      <c r="N814" s="1" t="s">
        <v>21</v>
      </c>
      <c r="O814" s="1" t="str">
        <f>IF(OR(TBL_Employees[[#This Row],[Exit Date]],FALSE),"Left employees", "Current employees")</f>
        <v>Current employees</v>
      </c>
    </row>
    <row r="815" spans="1:15" x14ac:dyDescent="0.35">
      <c r="A815" t="s">
        <v>1689</v>
      </c>
      <c r="B815" t="s">
        <v>1690</v>
      </c>
      <c r="C815" t="s">
        <v>42</v>
      </c>
      <c r="D815" t="s">
        <v>65</v>
      </c>
      <c r="E815" t="s">
        <v>44</v>
      </c>
      <c r="F815" t="s">
        <v>17</v>
      </c>
      <c r="G815" t="s">
        <v>18</v>
      </c>
      <c r="H815">
        <v>38</v>
      </c>
      <c r="I815" s="1">
        <v>44036</v>
      </c>
      <c r="J815" s="2">
        <v>89390</v>
      </c>
      <c r="K815" s="3">
        <v>0</v>
      </c>
      <c r="L815" t="s">
        <v>19</v>
      </c>
      <c r="M815" t="s">
        <v>63</v>
      </c>
      <c r="N815" s="1" t="s">
        <v>21</v>
      </c>
      <c r="O815" s="1" t="str">
        <f>IF(OR(TBL_Employees[[#This Row],[Exit Date]],FALSE),"Left employees", "Current employees")</f>
        <v>Current employees</v>
      </c>
    </row>
    <row r="816" spans="1:15" x14ac:dyDescent="0.35">
      <c r="A816" t="s">
        <v>1691</v>
      </c>
      <c r="B816" t="s">
        <v>1692</v>
      </c>
      <c r="C816" t="s">
        <v>71</v>
      </c>
      <c r="D816" t="s">
        <v>27</v>
      </c>
      <c r="E816" t="s">
        <v>36</v>
      </c>
      <c r="F816" t="s">
        <v>28</v>
      </c>
      <c r="G816" t="s">
        <v>18</v>
      </c>
      <c r="H816">
        <v>41</v>
      </c>
      <c r="I816" s="1">
        <v>43013</v>
      </c>
      <c r="J816" s="2">
        <v>67468</v>
      </c>
      <c r="K816" s="3">
        <v>0</v>
      </c>
      <c r="L816" t="s">
        <v>19</v>
      </c>
      <c r="M816" t="s">
        <v>45</v>
      </c>
      <c r="N816" s="1" t="s">
        <v>21</v>
      </c>
      <c r="O816" s="1" t="str">
        <f>IF(OR(TBL_Employees[[#This Row],[Exit Date]],FALSE),"Left employees", "Current employees")</f>
        <v>Current employees</v>
      </c>
    </row>
    <row r="817" spans="1:15" x14ac:dyDescent="0.35">
      <c r="A817" t="s">
        <v>1693</v>
      </c>
      <c r="B817" t="s">
        <v>1694</v>
      </c>
      <c r="C817" t="s">
        <v>97</v>
      </c>
      <c r="D817" t="s">
        <v>31</v>
      </c>
      <c r="E817" t="s">
        <v>36</v>
      </c>
      <c r="F817" t="s">
        <v>17</v>
      </c>
      <c r="G817" t="s">
        <v>51</v>
      </c>
      <c r="H817">
        <v>49</v>
      </c>
      <c r="I817" s="1">
        <v>42441</v>
      </c>
      <c r="J817" s="2">
        <v>100810</v>
      </c>
      <c r="K817" s="3">
        <v>0.12</v>
      </c>
      <c r="L817" t="s">
        <v>52</v>
      </c>
      <c r="M817" t="s">
        <v>66</v>
      </c>
      <c r="N817" s="1" t="s">
        <v>21</v>
      </c>
      <c r="O817" s="1" t="str">
        <f>IF(OR(TBL_Employees[[#This Row],[Exit Date]],FALSE),"Left employees", "Current employees")</f>
        <v>Current employees</v>
      </c>
    </row>
    <row r="818" spans="1:15" x14ac:dyDescent="0.35">
      <c r="A818" t="s">
        <v>1695</v>
      </c>
      <c r="B818" t="s">
        <v>1696</v>
      </c>
      <c r="C818" t="s">
        <v>42</v>
      </c>
      <c r="D818" t="s">
        <v>15</v>
      </c>
      <c r="E818" t="s">
        <v>36</v>
      </c>
      <c r="F818" t="s">
        <v>17</v>
      </c>
      <c r="G818" t="s">
        <v>24</v>
      </c>
      <c r="H818">
        <v>35</v>
      </c>
      <c r="I818" s="1">
        <v>43542</v>
      </c>
      <c r="J818" s="2">
        <v>74779</v>
      </c>
      <c r="K818" s="3">
        <v>0</v>
      </c>
      <c r="L818" t="s">
        <v>19</v>
      </c>
      <c r="M818" t="s">
        <v>39</v>
      </c>
      <c r="N818" s="1" t="s">
        <v>21</v>
      </c>
      <c r="O818" s="1" t="str">
        <f>IF(OR(TBL_Employees[[#This Row],[Exit Date]],FALSE),"Left employees", "Current employees")</f>
        <v>Current employees</v>
      </c>
    </row>
    <row r="819" spans="1:15" x14ac:dyDescent="0.35">
      <c r="A819" t="s">
        <v>878</v>
      </c>
      <c r="B819" t="s">
        <v>1697</v>
      </c>
      <c r="C819" t="s">
        <v>35</v>
      </c>
      <c r="D819" t="s">
        <v>27</v>
      </c>
      <c r="E819" t="s">
        <v>32</v>
      </c>
      <c r="F819" t="s">
        <v>17</v>
      </c>
      <c r="G819" t="s">
        <v>24</v>
      </c>
      <c r="H819">
        <v>29</v>
      </c>
      <c r="I819" s="1">
        <v>43048</v>
      </c>
      <c r="J819" s="2">
        <v>63985</v>
      </c>
      <c r="K819" s="3">
        <v>0</v>
      </c>
      <c r="L819" t="s">
        <v>19</v>
      </c>
      <c r="M819" t="s">
        <v>45</v>
      </c>
      <c r="N819" s="1" t="s">
        <v>21</v>
      </c>
      <c r="O819" s="1" t="str">
        <f>IF(OR(TBL_Employees[[#This Row],[Exit Date]],FALSE),"Left employees", "Current employees")</f>
        <v>Current employees</v>
      </c>
    </row>
    <row r="820" spans="1:15" x14ac:dyDescent="0.35">
      <c r="A820" t="s">
        <v>1698</v>
      </c>
      <c r="B820" t="s">
        <v>1699</v>
      </c>
      <c r="C820" t="s">
        <v>88</v>
      </c>
      <c r="D820" t="s">
        <v>27</v>
      </c>
      <c r="E820" t="s">
        <v>36</v>
      </c>
      <c r="F820" t="s">
        <v>17</v>
      </c>
      <c r="G820" t="s">
        <v>18</v>
      </c>
      <c r="H820">
        <v>64</v>
      </c>
      <c r="I820" s="1">
        <v>38176</v>
      </c>
      <c r="J820" s="2">
        <v>77903</v>
      </c>
      <c r="K820" s="3">
        <v>0</v>
      </c>
      <c r="L820" t="s">
        <v>19</v>
      </c>
      <c r="M820" t="s">
        <v>63</v>
      </c>
      <c r="N820" s="1" t="s">
        <v>21</v>
      </c>
      <c r="O820" s="1" t="str">
        <f>IF(OR(TBL_Employees[[#This Row],[Exit Date]],FALSE),"Left employees", "Current employees")</f>
        <v>Current employees</v>
      </c>
    </row>
    <row r="821" spans="1:15" x14ac:dyDescent="0.35">
      <c r="A821" t="s">
        <v>1700</v>
      </c>
      <c r="B821" t="s">
        <v>1701</v>
      </c>
      <c r="C821" t="s">
        <v>40</v>
      </c>
      <c r="D821" t="s">
        <v>43</v>
      </c>
      <c r="E821" t="s">
        <v>32</v>
      </c>
      <c r="F821" t="s">
        <v>28</v>
      </c>
      <c r="G821" t="s">
        <v>18</v>
      </c>
      <c r="H821">
        <v>33</v>
      </c>
      <c r="I821" s="1">
        <v>42898</v>
      </c>
      <c r="J821" s="2">
        <v>164396</v>
      </c>
      <c r="K821" s="3">
        <v>0.28999999999999998</v>
      </c>
      <c r="L821" t="s">
        <v>19</v>
      </c>
      <c r="M821" t="s">
        <v>29</v>
      </c>
      <c r="N821" s="1" t="s">
        <v>21</v>
      </c>
      <c r="O821" s="1" t="str">
        <f>IF(OR(TBL_Employees[[#This Row],[Exit Date]],FALSE),"Left employees", "Current employees")</f>
        <v>Current employees</v>
      </c>
    </row>
    <row r="822" spans="1:15" x14ac:dyDescent="0.35">
      <c r="A822" t="s">
        <v>261</v>
      </c>
      <c r="B822" t="s">
        <v>1702</v>
      </c>
      <c r="C822" t="s">
        <v>91</v>
      </c>
      <c r="D822" t="s">
        <v>27</v>
      </c>
      <c r="E822" t="s">
        <v>32</v>
      </c>
      <c r="F822" t="s">
        <v>28</v>
      </c>
      <c r="G822" t="s">
        <v>24</v>
      </c>
      <c r="H822">
        <v>29</v>
      </c>
      <c r="I822" s="1">
        <v>44375</v>
      </c>
      <c r="J822" s="2">
        <v>71234</v>
      </c>
      <c r="K822" s="3">
        <v>0</v>
      </c>
      <c r="L822" t="s">
        <v>19</v>
      </c>
      <c r="M822" t="s">
        <v>63</v>
      </c>
      <c r="N822" s="1" t="s">
        <v>21</v>
      </c>
      <c r="O822" s="1" t="str">
        <f>IF(OR(TBL_Employees[[#This Row],[Exit Date]],FALSE),"Left employees", "Current employees")</f>
        <v>Current employees</v>
      </c>
    </row>
    <row r="823" spans="1:15" x14ac:dyDescent="0.35">
      <c r="A823" t="s">
        <v>200</v>
      </c>
      <c r="B823" t="s">
        <v>1703</v>
      </c>
      <c r="C823" t="s">
        <v>62</v>
      </c>
      <c r="D823" t="s">
        <v>15</v>
      </c>
      <c r="E823" t="s">
        <v>32</v>
      </c>
      <c r="F823" t="s">
        <v>28</v>
      </c>
      <c r="G823" t="s">
        <v>24</v>
      </c>
      <c r="H823">
        <v>63</v>
      </c>
      <c r="I823" s="1">
        <v>38096</v>
      </c>
      <c r="J823" s="2">
        <v>122487</v>
      </c>
      <c r="K823" s="3">
        <v>0.08</v>
      </c>
      <c r="L823" t="s">
        <v>33</v>
      </c>
      <c r="M823" t="s">
        <v>74</v>
      </c>
      <c r="N823" s="1" t="s">
        <v>21</v>
      </c>
      <c r="O823" s="1" t="str">
        <f>IF(OR(TBL_Employees[[#This Row],[Exit Date]],FALSE),"Left employees", "Current employees")</f>
        <v>Current employees</v>
      </c>
    </row>
    <row r="824" spans="1:15" x14ac:dyDescent="0.35">
      <c r="A824" t="s">
        <v>1704</v>
      </c>
      <c r="B824" t="s">
        <v>1705</v>
      </c>
      <c r="C824" t="s">
        <v>62</v>
      </c>
      <c r="D824" t="s">
        <v>23</v>
      </c>
      <c r="E824" t="s">
        <v>44</v>
      </c>
      <c r="F824" t="s">
        <v>17</v>
      </c>
      <c r="G824" t="s">
        <v>24</v>
      </c>
      <c r="H824">
        <v>32</v>
      </c>
      <c r="I824" s="1">
        <v>42738</v>
      </c>
      <c r="J824" s="2">
        <v>101870</v>
      </c>
      <c r="K824" s="3">
        <v>0.1</v>
      </c>
      <c r="L824" t="s">
        <v>19</v>
      </c>
      <c r="M824" t="s">
        <v>39</v>
      </c>
      <c r="N824" s="1" t="s">
        <v>21</v>
      </c>
      <c r="O824" s="1" t="str">
        <f>IF(OR(TBL_Employees[[#This Row],[Exit Date]],FALSE),"Left employees", "Current employees")</f>
        <v>Current employees</v>
      </c>
    </row>
    <row r="825" spans="1:15" x14ac:dyDescent="0.35">
      <c r="A825" t="s">
        <v>242</v>
      </c>
      <c r="B825" t="s">
        <v>1706</v>
      </c>
      <c r="C825" t="s">
        <v>76</v>
      </c>
      <c r="D825" t="s">
        <v>27</v>
      </c>
      <c r="E825" t="s">
        <v>16</v>
      </c>
      <c r="F825" t="s">
        <v>28</v>
      </c>
      <c r="G825" t="s">
        <v>51</v>
      </c>
      <c r="H825">
        <v>64</v>
      </c>
      <c r="I825" s="1">
        <v>44009</v>
      </c>
      <c r="J825" s="2">
        <v>40316</v>
      </c>
      <c r="K825" s="3">
        <v>0</v>
      </c>
      <c r="L825" t="s">
        <v>52</v>
      </c>
      <c r="M825" t="s">
        <v>81</v>
      </c>
      <c r="N825" s="1" t="s">
        <v>21</v>
      </c>
      <c r="O825" s="1" t="str">
        <f>IF(OR(TBL_Employees[[#This Row],[Exit Date]],FALSE),"Left employees", "Current employees")</f>
        <v>Current employees</v>
      </c>
    </row>
    <row r="826" spans="1:15" x14ac:dyDescent="0.35">
      <c r="A826" t="s">
        <v>223</v>
      </c>
      <c r="B826" t="s">
        <v>1707</v>
      </c>
      <c r="C826" t="s">
        <v>62</v>
      </c>
      <c r="D826" t="s">
        <v>27</v>
      </c>
      <c r="E826" t="s">
        <v>16</v>
      </c>
      <c r="F826" t="s">
        <v>17</v>
      </c>
      <c r="G826" t="s">
        <v>24</v>
      </c>
      <c r="H826">
        <v>55</v>
      </c>
      <c r="I826" s="1">
        <v>38391</v>
      </c>
      <c r="J826" s="2">
        <v>115145</v>
      </c>
      <c r="K826" s="3">
        <v>0.05</v>
      </c>
      <c r="L826" t="s">
        <v>33</v>
      </c>
      <c r="M826" t="s">
        <v>80</v>
      </c>
      <c r="N826" s="1" t="s">
        <v>21</v>
      </c>
      <c r="O826" s="1" t="str">
        <f>IF(OR(TBL_Employees[[#This Row],[Exit Date]],FALSE),"Left employees", "Current employees")</f>
        <v>Current employees</v>
      </c>
    </row>
    <row r="827" spans="1:15" x14ac:dyDescent="0.35">
      <c r="A827" t="s">
        <v>1708</v>
      </c>
      <c r="B827" t="s">
        <v>1709</v>
      </c>
      <c r="C827" t="s">
        <v>38</v>
      </c>
      <c r="D827" t="s">
        <v>27</v>
      </c>
      <c r="E827" t="s">
        <v>36</v>
      </c>
      <c r="F827" t="s">
        <v>17</v>
      </c>
      <c r="G827" t="s">
        <v>51</v>
      </c>
      <c r="H827">
        <v>43</v>
      </c>
      <c r="I827" s="1">
        <v>39885</v>
      </c>
      <c r="J827" s="2">
        <v>62335</v>
      </c>
      <c r="K827" s="3">
        <v>0</v>
      </c>
      <c r="L827" t="s">
        <v>52</v>
      </c>
      <c r="M827" t="s">
        <v>81</v>
      </c>
      <c r="N827" s="1" t="s">
        <v>21</v>
      </c>
      <c r="O827" s="1" t="str">
        <f>IF(OR(TBL_Employees[[#This Row],[Exit Date]],FALSE),"Left employees", "Current employees")</f>
        <v>Current employees</v>
      </c>
    </row>
    <row r="828" spans="1:15" x14ac:dyDescent="0.35">
      <c r="A828" t="s">
        <v>161</v>
      </c>
      <c r="B828" t="s">
        <v>1710</v>
      </c>
      <c r="C828" t="s">
        <v>68</v>
      </c>
      <c r="D828" t="s">
        <v>15</v>
      </c>
      <c r="E828" t="s">
        <v>36</v>
      </c>
      <c r="F828" t="s">
        <v>28</v>
      </c>
      <c r="G828" t="s">
        <v>24</v>
      </c>
      <c r="H828">
        <v>56</v>
      </c>
      <c r="I828" s="1">
        <v>38847</v>
      </c>
      <c r="J828" s="2">
        <v>41561</v>
      </c>
      <c r="K828" s="3">
        <v>0</v>
      </c>
      <c r="L828" t="s">
        <v>19</v>
      </c>
      <c r="M828" t="s">
        <v>25</v>
      </c>
      <c r="N828" s="1" t="s">
        <v>21</v>
      </c>
      <c r="O828" s="1" t="str">
        <f>IF(OR(TBL_Employees[[#This Row],[Exit Date]],FALSE),"Left employees", "Current employees")</f>
        <v>Current employees</v>
      </c>
    </row>
    <row r="829" spans="1:15" x14ac:dyDescent="0.35">
      <c r="A829" t="s">
        <v>1711</v>
      </c>
      <c r="B829" t="s">
        <v>1712</v>
      </c>
      <c r="C829" t="s">
        <v>61</v>
      </c>
      <c r="D829" t="s">
        <v>15</v>
      </c>
      <c r="E829" t="s">
        <v>44</v>
      </c>
      <c r="F829" t="s">
        <v>17</v>
      </c>
      <c r="G829" t="s">
        <v>24</v>
      </c>
      <c r="H829">
        <v>37</v>
      </c>
      <c r="I829" s="1">
        <v>40657</v>
      </c>
      <c r="J829" s="2">
        <v>131183</v>
      </c>
      <c r="K829" s="3">
        <v>0.14000000000000001</v>
      </c>
      <c r="L829" t="s">
        <v>33</v>
      </c>
      <c r="M829" t="s">
        <v>74</v>
      </c>
      <c r="N829" s="1">
        <v>42445</v>
      </c>
      <c r="O829" s="1" t="str">
        <f>IF(OR(TBL_Employees[[#This Row],[Exit Date]],FALSE),"Left employees", "Current employees")</f>
        <v>Left employees</v>
      </c>
    </row>
    <row r="830" spans="1:15" x14ac:dyDescent="0.35">
      <c r="A830" t="s">
        <v>1115</v>
      </c>
      <c r="B830" t="s">
        <v>1713</v>
      </c>
      <c r="C830" t="s">
        <v>55</v>
      </c>
      <c r="D830" t="s">
        <v>27</v>
      </c>
      <c r="E830" t="s">
        <v>36</v>
      </c>
      <c r="F830" t="s">
        <v>17</v>
      </c>
      <c r="G830" t="s">
        <v>24</v>
      </c>
      <c r="H830">
        <v>45</v>
      </c>
      <c r="I830" s="1">
        <v>37445</v>
      </c>
      <c r="J830" s="2">
        <v>92655</v>
      </c>
      <c r="K830" s="3">
        <v>0</v>
      </c>
      <c r="L830" t="s">
        <v>33</v>
      </c>
      <c r="M830" t="s">
        <v>34</v>
      </c>
      <c r="N830" s="1" t="s">
        <v>21</v>
      </c>
      <c r="O830" s="1" t="str">
        <f>IF(OR(TBL_Employees[[#This Row],[Exit Date]],FALSE),"Left employees", "Current employees")</f>
        <v>Current employees</v>
      </c>
    </row>
    <row r="831" spans="1:15" x14ac:dyDescent="0.35">
      <c r="A831" t="s">
        <v>1577</v>
      </c>
      <c r="B831" t="s">
        <v>1714</v>
      </c>
      <c r="C831" t="s">
        <v>61</v>
      </c>
      <c r="D831" t="s">
        <v>50</v>
      </c>
      <c r="E831" t="s">
        <v>36</v>
      </c>
      <c r="F831" t="s">
        <v>17</v>
      </c>
      <c r="G831" t="s">
        <v>51</v>
      </c>
      <c r="H831">
        <v>49</v>
      </c>
      <c r="I831" s="1">
        <v>35157</v>
      </c>
      <c r="J831" s="2">
        <v>157057</v>
      </c>
      <c r="K831" s="3">
        <v>0.12</v>
      </c>
      <c r="L831" t="s">
        <v>19</v>
      </c>
      <c r="M831" t="s">
        <v>45</v>
      </c>
      <c r="N831" s="1" t="s">
        <v>21</v>
      </c>
      <c r="O831" s="1" t="str">
        <f>IF(OR(TBL_Employees[[#This Row],[Exit Date]],FALSE),"Left employees", "Current employees")</f>
        <v>Current employees</v>
      </c>
    </row>
    <row r="832" spans="1:15" x14ac:dyDescent="0.35">
      <c r="A832" t="s">
        <v>335</v>
      </c>
      <c r="B832" t="s">
        <v>1715</v>
      </c>
      <c r="C832" t="s">
        <v>26</v>
      </c>
      <c r="D832" t="s">
        <v>27</v>
      </c>
      <c r="E832" t="s">
        <v>44</v>
      </c>
      <c r="F832" t="s">
        <v>17</v>
      </c>
      <c r="G832" t="s">
        <v>18</v>
      </c>
      <c r="H832">
        <v>61</v>
      </c>
      <c r="I832" s="1">
        <v>38392</v>
      </c>
      <c r="J832" s="2">
        <v>64462</v>
      </c>
      <c r="K832" s="3">
        <v>0</v>
      </c>
      <c r="L832" t="s">
        <v>19</v>
      </c>
      <c r="M832" t="s">
        <v>20</v>
      </c>
      <c r="N832" s="1" t="s">
        <v>21</v>
      </c>
      <c r="O832" s="1" t="str">
        <f>IF(OR(TBL_Employees[[#This Row],[Exit Date]],FALSE),"Left employees", "Current employees")</f>
        <v>Current employees</v>
      </c>
    </row>
    <row r="833" spans="1:15" x14ac:dyDescent="0.35">
      <c r="A833" t="s">
        <v>1716</v>
      </c>
      <c r="B833" t="s">
        <v>1717</v>
      </c>
      <c r="C833" t="s">
        <v>30</v>
      </c>
      <c r="D833" t="s">
        <v>31</v>
      </c>
      <c r="E833" t="s">
        <v>32</v>
      </c>
      <c r="F833" t="s">
        <v>17</v>
      </c>
      <c r="G833" t="s">
        <v>18</v>
      </c>
      <c r="H833">
        <v>41</v>
      </c>
      <c r="I833" s="1">
        <v>38632</v>
      </c>
      <c r="J833" s="2">
        <v>79352</v>
      </c>
      <c r="K833" s="3">
        <v>0</v>
      </c>
      <c r="L833" t="s">
        <v>19</v>
      </c>
      <c r="M833" t="s">
        <v>63</v>
      </c>
      <c r="N833" s="1" t="s">
        <v>21</v>
      </c>
      <c r="O833" s="1" t="str">
        <f>IF(OR(TBL_Employees[[#This Row],[Exit Date]],FALSE),"Left employees", "Current employees")</f>
        <v>Current employees</v>
      </c>
    </row>
    <row r="834" spans="1:15" x14ac:dyDescent="0.35">
      <c r="A834" t="s">
        <v>1718</v>
      </c>
      <c r="B834" t="s">
        <v>1719</v>
      </c>
      <c r="C834" t="s">
        <v>61</v>
      </c>
      <c r="D834" t="s">
        <v>43</v>
      </c>
      <c r="E834" t="s">
        <v>44</v>
      </c>
      <c r="F834" t="s">
        <v>17</v>
      </c>
      <c r="G834" t="s">
        <v>18</v>
      </c>
      <c r="H834">
        <v>55</v>
      </c>
      <c r="I834" s="1">
        <v>36977</v>
      </c>
      <c r="J834" s="2">
        <v>157812</v>
      </c>
      <c r="K834" s="3">
        <v>0.11</v>
      </c>
      <c r="L834" t="s">
        <v>19</v>
      </c>
      <c r="M834" t="s">
        <v>45</v>
      </c>
      <c r="N834" s="1" t="s">
        <v>21</v>
      </c>
      <c r="O834" s="1" t="str">
        <f>IF(OR(TBL_Employees[[#This Row],[Exit Date]],FALSE),"Left employees", "Current employees")</f>
        <v>Current employees</v>
      </c>
    </row>
    <row r="835" spans="1:15" x14ac:dyDescent="0.35">
      <c r="A835" t="s">
        <v>131</v>
      </c>
      <c r="B835" t="s">
        <v>1720</v>
      </c>
      <c r="C835" t="s">
        <v>30</v>
      </c>
      <c r="D835" t="s">
        <v>31</v>
      </c>
      <c r="E835" t="s">
        <v>32</v>
      </c>
      <c r="F835" t="s">
        <v>28</v>
      </c>
      <c r="G835" t="s">
        <v>18</v>
      </c>
      <c r="H835">
        <v>27</v>
      </c>
      <c r="I835" s="1">
        <v>43354</v>
      </c>
      <c r="J835" s="2">
        <v>80745</v>
      </c>
      <c r="K835" s="3">
        <v>0</v>
      </c>
      <c r="L835" t="s">
        <v>19</v>
      </c>
      <c r="M835" t="s">
        <v>20</v>
      </c>
      <c r="N835" s="1" t="s">
        <v>21</v>
      </c>
      <c r="O835" s="1" t="str">
        <f>IF(OR(TBL_Employees[[#This Row],[Exit Date]],FALSE),"Left employees", "Current employees")</f>
        <v>Current employees</v>
      </c>
    </row>
    <row r="836" spans="1:15" x14ac:dyDescent="0.35">
      <c r="A836" t="s">
        <v>350</v>
      </c>
      <c r="B836" t="s">
        <v>1721</v>
      </c>
      <c r="C836" t="s">
        <v>98</v>
      </c>
      <c r="D836" t="s">
        <v>27</v>
      </c>
      <c r="E836" t="s">
        <v>36</v>
      </c>
      <c r="F836" t="s">
        <v>17</v>
      </c>
      <c r="G836" t="s">
        <v>18</v>
      </c>
      <c r="H836">
        <v>57</v>
      </c>
      <c r="I836" s="1">
        <v>35113</v>
      </c>
      <c r="J836" s="2">
        <v>75354</v>
      </c>
      <c r="K836" s="3">
        <v>0</v>
      </c>
      <c r="L836" t="s">
        <v>19</v>
      </c>
      <c r="M836" t="s">
        <v>25</v>
      </c>
      <c r="N836" s="1">
        <v>35413</v>
      </c>
      <c r="O836" s="1" t="str">
        <f>IF(OR(TBL_Employees[[#This Row],[Exit Date]],FALSE),"Left employees", "Current employees")</f>
        <v>Left employees</v>
      </c>
    </row>
    <row r="837" spans="1:15" x14ac:dyDescent="0.35">
      <c r="A837" t="s">
        <v>1722</v>
      </c>
      <c r="B837" t="s">
        <v>1723</v>
      </c>
      <c r="C837" t="s">
        <v>97</v>
      </c>
      <c r="D837" t="s">
        <v>31</v>
      </c>
      <c r="E837" t="s">
        <v>16</v>
      </c>
      <c r="F837" t="s">
        <v>28</v>
      </c>
      <c r="G837" t="s">
        <v>51</v>
      </c>
      <c r="H837">
        <v>56</v>
      </c>
      <c r="I837" s="1">
        <v>43363</v>
      </c>
      <c r="J837" s="2">
        <v>78938</v>
      </c>
      <c r="K837" s="3">
        <v>0.14000000000000001</v>
      </c>
      <c r="L837" t="s">
        <v>19</v>
      </c>
      <c r="M837" t="s">
        <v>39</v>
      </c>
      <c r="N837" s="1" t="s">
        <v>21</v>
      </c>
      <c r="O837" s="1" t="str">
        <f>IF(OR(TBL_Employees[[#This Row],[Exit Date]],FALSE),"Left employees", "Current employees")</f>
        <v>Current employees</v>
      </c>
    </row>
    <row r="838" spans="1:15" x14ac:dyDescent="0.35">
      <c r="A838" t="s">
        <v>1724</v>
      </c>
      <c r="B838" t="s">
        <v>1725</v>
      </c>
      <c r="C838" t="s">
        <v>69</v>
      </c>
      <c r="D838" t="s">
        <v>31</v>
      </c>
      <c r="E838" t="s">
        <v>32</v>
      </c>
      <c r="F838" t="s">
        <v>28</v>
      </c>
      <c r="G838" t="s">
        <v>51</v>
      </c>
      <c r="H838">
        <v>59</v>
      </c>
      <c r="I838" s="1">
        <v>39701</v>
      </c>
      <c r="J838" s="2">
        <v>96313</v>
      </c>
      <c r="K838" s="3">
        <v>0</v>
      </c>
      <c r="L838" t="s">
        <v>19</v>
      </c>
      <c r="M838" t="s">
        <v>25</v>
      </c>
      <c r="N838" s="1" t="s">
        <v>21</v>
      </c>
      <c r="O838" s="1" t="str">
        <f>IF(OR(TBL_Employees[[#This Row],[Exit Date]],FALSE),"Left employees", "Current employees")</f>
        <v>Current employees</v>
      </c>
    </row>
    <row r="839" spans="1:15" x14ac:dyDescent="0.35">
      <c r="A839" t="s">
        <v>1726</v>
      </c>
      <c r="B839" t="s">
        <v>1727</v>
      </c>
      <c r="C839" t="s">
        <v>40</v>
      </c>
      <c r="D839" t="s">
        <v>31</v>
      </c>
      <c r="E839" t="s">
        <v>44</v>
      </c>
      <c r="F839" t="s">
        <v>28</v>
      </c>
      <c r="G839" t="s">
        <v>18</v>
      </c>
      <c r="H839">
        <v>45</v>
      </c>
      <c r="I839" s="1">
        <v>40511</v>
      </c>
      <c r="J839" s="2">
        <v>153767</v>
      </c>
      <c r="K839" s="3">
        <v>0.27</v>
      </c>
      <c r="L839" t="s">
        <v>19</v>
      </c>
      <c r="M839" t="s">
        <v>39</v>
      </c>
      <c r="N839" s="1" t="s">
        <v>21</v>
      </c>
      <c r="O839" s="1" t="str">
        <f>IF(OR(TBL_Employees[[#This Row],[Exit Date]],FALSE),"Left employees", "Current employees")</f>
        <v>Current employees</v>
      </c>
    </row>
    <row r="840" spans="1:15" x14ac:dyDescent="0.35">
      <c r="A840" t="s">
        <v>280</v>
      </c>
      <c r="B840" t="s">
        <v>1728</v>
      </c>
      <c r="C840" t="s">
        <v>62</v>
      </c>
      <c r="D840" t="s">
        <v>43</v>
      </c>
      <c r="E840" t="s">
        <v>16</v>
      </c>
      <c r="F840" t="s">
        <v>17</v>
      </c>
      <c r="G840" t="s">
        <v>47</v>
      </c>
      <c r="H840">
        <v>42</v>
      </c>
      <c r="I840" s="1">
        <v>42266</v>
      </c>
      <c r="J840" s="2">
        <v>103423</v>
      </c>
      <c r="K840" s="3">
        <v>0.06</v>
      </c>
      <c r="L840" t="s">
        <v>19</v>
      </c>
      <c r="M840" t="s">
        <v>29</v>
      </c>
      <c r="N840" s="1" t="s">
        <v>21</v>
      </c>
      <c r="O840" s="1" t="str">
        <f>IF(OR(TBL_Employees[[#This Row],[Exit Date]],FALSE),"Left employees", "Current employees")</f>
        <v>Current employees</v>
      </c>
    </row>
    <row r="841" spans="1:15" x14ac:dyDescent="0.35">
      <c r="A841" t="s">
        <v>1729</v>
      </c>
      <c r="B841" t="s">
        <v>1730</v>
      </c>
      <c r="C841" t="s">
        <v>84</v>
      </c>
      <c r="D841" t="s">
        <v>31</v>
      </c>
      <c r="E841" t="s">
        <v>32</v>
      </c>
      <c r="F841" t="s">
        <v>17</v>
      </c>
      <c r="G841" t="s">
        <v>24</v>
      </c>
      <c r="H841">
        <v>25</v>
      </c>
      <c r="I841" s="1">
        <v>44370</v>
      </c>
      <c r="J841" s="2">
        <v>86464</v>
      </c>
      <c r="K841" s="3">
        <v>0</v>
      </c>
      <c r="L841" t="s">
        <v>33</v>
      </c>
      <c r="M841" t="s">
        <v>74</v>
      </c>
      <c r="N841" s="1" t="s">
        <v>21</v>
      </c>
      <c r="O841" s="1" t="str">
        <f>IF(OR(TBL_Employees[[#This Row],[Exit Date]],FALSE),"Left employees", "Current employees")</f>
        <v>Current employees</v>
      </c>
    </row>
    <row r="842" spans="1:15" x14ac:dyDescent="0.35">
      <c r="A842" t="s">
        <v>1731</v>
      </c>
      <c r="B842" t="s">
        <v>1732</v>
      </c>
      <c r="C842" t="s">
        <v>84</v>
      </c>
      <c r="D842" t="s">
        <v>31</v>
      </c>
      <c r="E842" t="s">
        <v>32</v>
      </c>
      <c r="F842" t="s">
        <v>17</v>
      </c>
      <c r="G842" t="s">
        <v>51</v>
      </c>
      <c r="H842">
        <v>29</v>
      </c>
      <c r="I842" s="1">
        <v>43114</v>
      </c>
      <c r="J842" s="2">
        <v>80516</v>
      </c>
      <c r="K842" s="3">
        <v>0</v>
      </c>
      <c r="L842" t="s">
        <v>52</v>
      </c>
      <c r="M842" t="s">
        <v>53</v>
      </c>
      <c r="N842" s="1" t="s">
        <v>21</v>
      </c>
      <c r="O842" s="1" t="str">
        <f>IF(OR(TBL_Employees[[#This Row],[Exit Date]],FALSE),"Left employees", "Current employees")</f>
        <v>Current employees</v>
      </c>
    </row>
    <row r="843" spans="1:15" x14ac:dyDescent="0.35">
      <c r="A843" t="s">
        <v>1733</v>
      </c>
      <c r="B843" t="s">
        <v>1734</v>
      </c>
      <c r="C843" t="s">
        <v>62</v>
      </c>
      <c r="D843" t="s">
        <v>23</v>
      </c>
      <c r="E843" t="s">
        <v>44</v>
      </c>
      <c r="F843" t="s">
        <v>17</v>
      </c>
      <c r="G843" t="s">
        <v>47</v>
      </c>
      <c r="H843">
        <v>33</v>
      </c>
      <c r="I843" s="1">
        <v>41507</v>
      </c>
      <c r="J843" s="2">
        <v>105390</v>
      </c>
      <c r="K843" s="3">
        <v>0.06</v>
      </c>
      <c r="L843" t="s">
        <v>19</v>
      </c>
      <c r="M843" t="s">
        <v>29</v>
      </c>
      <c r="N843" s="1" t="s">
        <v>21</v>
      </c>
      <c r="O843" s="1" t="str">
        <f>IF(OR(TBL_Employees[[#This Row],[Exit Date]],FALSE),"Left employees", "Current employees")</f>
        <v>Current employees</v>
      </c>
    </row>
    <row r="844" spans="1:15" x14ac:dyDescent="0.35">
      <c r="A844" t="s">
        <v>1735</v>
      </c>
      <c r="B844" t="s">
        <v>1736</v>
      </c>
      <c r="C844" t="s">
        <v>38</v>
      </c>
      <c r="D844" t="s">
        <v>27</v>
      </c>
      <c r="E844" t="s">
        <v>36</v>
      </c>
      <c r="F844" t="s">
        <v>17</v>
      </c>
      <c r="G844" t="s">
        <v>24</v>
      </c>
      <c r="H844">
        <v>50</v>
      </c>
      <c r="I844" s="1">
        <v>44445</v>
      </c>
      <c r="J844" s="2">
        <v>83418</v>
      </c>
      <c r="K844" s="3">
        <v>0</v>
      </c>
      <c r="L844" t="s">
        <v>33</v>
      </c>
      <c r="M844" t="s">
        <v>74</v>
      </c>
      <c r="N844" s="1" t="s">
        <v>21</v>
      </c>
      <c r="O844" s="1" t="str">
        <f>IF(OR(TBL_Employees[[#This Row],[Exit Date]],FALSE),"Left employees", "Current employees")</f>
        <v>Current employees</v>
      </c>
    </row>
    <row r="845" spans="1:15" x14ac:dyDescent="0.35">
      <c r="A845" t="s">
        <v>1737</v>
      </c>
      <c r="B845" t="s">
        <v>1738</v>
      </c>
      <c r="C845" t="s">
        <v>88</v>
      </c>
      <c r="D845" t="s">
        <v>27</v>
      </c>
      <c r="E845" t="s">
        <v>44</v>
      </c>
      <c r="F845" t="s">
        <v>17</v>
      </c>
      <c r="G845" t="s">
        <v>18</v>
      </c>
      <c r="H845">
        <v>45</v>
      </c>
      <c r="I845" s="1">
        <v>43042</v>
      </c>
      <c r="J845" s="2">
        <v>66660</v>
      </c>
      <c r="K845" s="3">
        <v>0</v>
      </c>
      <c r="L845" t="s">
        <v>19</v>
      </c>
      <c r="M845" t="s">
        <v>25</v>
      </c>
      <c r="N845" s="1" t="s">
        <v>21</v>
      </c>
      <c r="O845" s="1" t="str">
        <f>IF(OR(TBL_Employees[[#This Row],[Exit Date]],FALSE),"Left employees", "Current employees")</f>
        <v>Current employees</v>
      </c>
    </row>
    <row r="846" spans="1:15" x14ac:dyDescent="0.35">
      <c r="A846" t="s">
        <v>1383</v>
      </c>
      <c r="B846" t="s">
        <v>1739</v>
      </c>
      <c r="C846" t="s">
        <v>62</v>
      </c>
      <c r="D846" t="s">
        <v>23</v>
      </c>
      <c r="E846" t="s">
        <v>44</v>
      </c>
      <c r="F846" t="s">
        <v>28</v>
      </c>
      <c r="G846" t="s">
        <v>51</v>
      </c>
      <c r="H846">
        <v>59</v>
      </c>
      <c r="I846" s="1">
        <v>42165</v>
      </c>
      <c r="J846" s="2">
        <v>101985</v>
      </c>
      <c r="K846" s="3">
        <v>7.0000000000000007E-2</v>
      </c>
      <c r="L846" t="s">
        <v>19</v>
      </c>
      <c r="M846" t="s">
        <v>45</v>
      </c>
      <c r="N846" s="1" t="s">
        <v>21</v>
      </c>
      <c r="O846" s="1" t="str">
        <f>IF(OR(TBL_Employees[[#This Row],[Exit Date]],FALSE),"Left employees", "Current employees")</f>
        <v>Current employees</v>
      </c>
    </row>
    <row r="847" spans="1:15" x14ac:dyDescent="0.35">
      <c r="A847" t="s">
        <v>1740</v>
      </c>
      <c r="B847" t="s">
        <v>1741</v>
      </c>
      <c r="C847" t="s">
        <v>14</v>
      </c>
      <c r="D847" t="s">
        <v>15</v>
      </c>
      <c r="E847" t="s">
        <v>32</v>
      </c>
      <c r="F847" t="s">
        <v>28</v>
      </c>
      <c r="G847" t="s">
        <v>51</v>
      </c>
      <c r="H847">
        <v>29</v>
      </c>
      <c r="I847" s="1">
        <v>43439</v>
      </c>
      <c r="J847" s="2">
        <v>199504</v>
      </c>
      <c r="K847" s="3">
        <v>0.3</v>
      </c>
      <c r="L847" t="s">
        <v>19</v>
      </c>
      <c r="M847" t="s">
        <v>25</v>
      </c>
      <c r="N847" s="1" t="s">
        <v>21</v>
      </c>
      <c r="O847" s="1" t="str">
        <f>IF(OR(TBL_Employees[[#This Row],[Exit Date]],FALSE),"Left employees", "Current employees")</f>
        <v>Current employees</v>
      </c>
    </row>
    <row r="848" spans="1:15" x14ac:dyDescent="0.35">
      <c r="A848" t="s">
        <v>1742</v>
      </c>
      <c r="B848" t="s">
        <v>1743</v>
      </c>
      <c r="C848" t="s">
        <v>61</v>
      </c>
      <c r="D848" t="s">
        <v>50</v>
      </c>
      <c r="E848" t="s">
        <v>32</v>
      </c>
      <c r="F848" t="s">
        <v>17</v>
      </c>
      <c r="G848" t="s">
        <v>51</v>
      </c>
      <c r="H848">
        <v>52</v>
      </c>
      <c r="I848" s="1">
        <v>38995</v>
      </c>
      <c r="J848" s="2">
        <v>147966</v>
      </c>
      <c r="K848" s="3">
        <v>0.11</v>
      </c>
      <c r="L848" t="s">
        <v>52</v>
      </c>
      <c r="M848" t="s">
        <v>66</v>
      </c>
      <c r="N848" s="1">
        <v>43608</v>
      </c>
      <c r="O848" s="1" t="str">
        <f>IF(OR(TBL_Employees[[#This Row],[Exit Date]],FALSE),"Left employees", "Current employees")</f>
        <v>Left employees</v>
      </c>
    </row>
    <row r="849" spans="1:15" x14ac:dyDescent="0.35">
      <c r="A849" t="s">
        <v>582</v>
      </c>
      <c r="B849" t="s">
        <v>1744</v>
      </c>
      <c r="C849" t="s">
        <v>83</v>
      </c>
      <c r="D849" t="s">
        <v>23</v>
      </c>
      <c r="E849" t="s">
        <v>44</v>
      </c>
      <c r="F849" t="s">
        <v>28</v>
      </c>
      <c r="G849" t="s">
        <v>24</v>
      </c>
      <c r="H849">
        <v>58</v>
      </c>
      <c r="I849" s="1">
        <v>41810</v>
      </c>
      <c r="J849" s="2">
        <v>41728</v>
      </c>
      <c r="K849" s="3">
        <v>0</v>
      </c>
      <c r="L849" t="s">
        <v>33</v>
      </c>
      <c r="M849" t="s">
        <v>80</v>
      </c>
      <c r="N849" s="1" t="s">
        <v>21</v>
      </c>
      <c r="O849" s="1" t="str">
        <f>IF(OR(TBL_Employees[[#This Row],[Exit Date]],FALSE),"Left employees", "Current employees")</f>
        <v>Current employees</v>
      </c>
    </row>
    <row r="850" spans="1:15" x14ac:dyDescent="0.35">
      <c r="A850" t="s">
        <v>1532</v>
      </c>
      <c r="B850" t="s">
        <v>67</v>
      </c>
      <c r="C850" t="s">
        <v>42</v>
      </c>
      <c r="D850" t="s">
        <v>65</v>
      </c>
      <c r="E850" t="s">
        <v>44</v>
      </c>
      <c r="F850" t="s">
        <v>28</v>
      </c>
      <c r="G850" t="s">
        <v>51</v>
      </c>
      <c r="H850">
        <v>62</v>
      </c>
      <c r="I850" s="1">
        <v>40591</v>
      </c>
      <c r="J850" s="2">
        <v>94422</v>
      </c>
      <c r="K850" s="3">
        <v>0</v>
      </c>
      <c r="L850" t="s">
        <v>19</v>
      </c>
      <c r="M850" t="s">
        <v>39</v>
      </c>
      <c r="N850" s="1" t="s">
        <v>21</v>
      </c>
      <c r="O850" s="1" t="str">
        <f>IF(OR(TBL_Employees[[#This Row],[Exit Date]],FALSE),"Left employees", "Current employees")</f>
        <v>Current employees</v>
      </c>
    </row>
    <row r="851" spans="1:15" x14ac:dyDescent="0.35">
      <c r="A851" t="s">
        <v>1745</v>
      </c>
      <c r="B851" t="s">
        <v>1746</v>
      </c>
      <c r="C851" t="s">
        <v>40</v>
      </c>
      <c r="D851" t="s">
        <v>50</v>
      </c>
      <c r="E851" t="s">
        <v>32</v>
      </c>
      <c r="F851" t="s">
        <v>28</v>
      </c>
      <c r="G851" t="s">
        <v>24</v>
      </c>
      <c r="H851">
        <v>31</v>
      </c>
      <c r="I851" s="1">
        <v>42184</v>
      </c>
      <c r="J851" s="2">
        <v>191026</v>
      </c>
      <c r="K851" s="3">
        <v>0.16</v>
      </c>
      <c r="L851" t="s">
        <v>19</v>
      </c>
      <c r="M851" t="s">
        <v>29</v>
      </c>
      <c r="N851" s="1" t="s">
        <v>21</v>
      </c>
      <c r="O851" s="1" t="str">
        <f>IF(OR(TBL_Employees[[#This Row],[Exit Date]],FALSE),"Left employees", "Current employees")</f>
        <v>Current employees</v>
      </c>
    </row>
    <row r="852" spans="1:15" x14ac:dyDescent="0.35">
      <c r="A852" t="s">
        <v>1747</v>
      </c>
      <c r="B852" t="s">
        <v>1748</v>
      </c>
      <c r="C852" t="s">
        <v>14</v>
      </c>
      <c r="D852" t="s">
        <v>27</v>
      </c>
      <c r="E852" t="s">
        <v>16</v>
      </c>
      <c r="F852" t="s">
        <v>28</v>
      </c>
      <c r="G852" t="s">
        <v>51</v>
      </c>
      <c r="H852">
        <v>42</v>
      </c>
      <c r="I852" s="1">
        <v>40511</v>
      </c>
      <c r="J852" s="2">
        <v>186725</v>
      </c>
      <c r="K852" s="3">
        <v>0.32</v>
      </c>
      <c r="L852" t="s">
        <v>52</v>
      </c>
      <c r="M852" t="s">
        <v>81</v>
      </c>
      <c r="N852" s="1" t="s">
        <v>21</v>
      </c>
      <c r="O852" s="1" t="str">
        <f>IF(OR(TBL_Employees[[#This Row],[Exit Date]],FALSE),"Left employees", "Current employees")</f>
        <v>Current employees</v>
      </c>
    </row>
    <row r="853" spans="1:15" x14ac:dyDescent="0.35">
      <c r="A853" t="s">
        <v>1749</v>
      </c>
      <c r="B853" t="s">
        <v>1750</v>
      </c>
      <c r="C853" t="s">
        <v>83</v>
      </c>
      <c r="D853" t="s">
        <v>23</v>
      </c>
      <c r="E853" t="s">
        <v>16</v>
      </c>
      <c r="F853" t="s">
        <v>17</v>
      </c>
      <c r="G853" t="s">
        <v>18</v>
      </c>
      <c r="H853">
        <v>56</v>
      </c>
      <c r="I853" s="1">
        <v>40045</v>
      </c>
      <c r="J853" s="2">
        <v>52800</v>
      </c>
      <c r="K853" s="3">
        <v>0</v>
      </c>
      <c r="L853" t="s">
        <v>19</v>
      </c>
      <c r="M853" t="s">
        <v>39</v>
      </c>
      <c r="N853" s="1" t="s">
        <v>21</v>
      </c>
      <c r="O853" s="1" t="str">
        <f>IF(OR(TBL_Employees[[#This Row],[Exit Date]],FALSE),"Left employees", "Current employees")</f>
        <v>Current employees</v>
      </c>
    </row>
    <row r="854" spans="1:15" x14ac:dyDescent="0.35">
      <c r="A854" t="s">
        <v>1751</v>
      </c>
      <c r="B854" t="s">
        <v>1752</v>
      </c>
      <c r="C854" t="s">
        <v>69</v>
      </c>
      <c r="D854" t="s">
        <v>31</v>
      </c>
      <c r="E854" t="s">
        <v>44</v>
      </c>
      <c r="F854" t="s">
        <v>28</v>
      </c>
      <c r="G854" t="s">
        <v>18</v>
      </c>
      <c r="H854">
        <v>54</v>
      </c>
      <c r="I854" s="1">
        <v>40517</v>
      </c>
      <c r="J854" s="2">
        <v>113982</v>
      </c>
      <c r="K854" s="3">
        <v>0</v>
      </c>
      <c r="L854" t="s">
        <v>19</v>
      </c>
      <c r="M854" t="s">
        <v>63</v>
      </c>
      <c r="N854" s="1" t="s">
        <v>21</v>
      </c>
      <c r="O854" s="1" t="str">
        <f>IF(OR(TBL_Employees[[#This Row],[Exit Date]],FALSE),"Left employees", "Current employees")</f>
        <v>Current employees</v>
      </c>
    </row>
    <row r="855" spans="1:15" x14ac:dyDescent="0.35">
      <c r="A855" t="s">
        <v>1753</v>
      </c>
      <c r="B855" t="s">
        <v>1754</v>
      </c>
      <c r="C855" t="s">
        <v>94</v>
      </c>
      <c r="D855" t="s">
        <v>50</v>
      </c>
      <c r="E855" t="s">
        <v>16</v>
      </c>
      <c r="F855" t="s">
        <v>17</v>
      </c>
      <c r="G855" t="s">
        <v>24</v>
      </c>
      <c r="H855">
        <v>54</v>
      </c>
      <c r="I855" s="1">
        <v>44271</v>
      </c>
      <c r="J855" s="2">
        <v>56239</v>
      </c>
      <c r="K855" s="3">
        <v>0</v>
      </c>
      <c r="L855" t="s">
        <v>33</v>
      </c>
      <c r="M855" t="s">
        <v>80</v>
      </c>
      <c r="N855" s="1" t="s">
        <v>21</v>
      </c>
      <c r="O855" s="1" t="str">
        <f>IF(OR(TBL_Employees[[#This Row],[Exit Date]],FALSE),"Left employees", "Current employees")</f>
        <v>Current employees</v>
      </c>
    </row>
    <row r="856" spans="1:15" x14ac:dyDescent="0.35">
      <c r="A856" t="s">
        <v>235</v>
      </c>
      <c r="B856" t="s">
        <v>1755</v>
      </c>
      <c r="C856" t="s">
        <v>68</v>
      </c>
      <c r="D856" t="s">
        <v>50</v>
      </c>
      <c r="E856" t="s">
        <v>36</v>
      </c>
      <c r="F856" t="s">
        <v>28</v>
      </c>
      <c r="G856" t="s">
        <v>51</v>
      </c>
      <c r="H856">
        <v>26</v>
      </c>
      <c r="I856" s="1">
        <v>44257</v>
      </c>
      <c r="J856" s="2">
        <v>44732</v>
      </c>
      <c r="K856" s="3">
        <v>0</v>
      </c>
      <c r="L856" t="s">
        <v>52</v>
      </c>
      <c r="M856" t="s">
        <v>66</v>
      </c>
      <c r="N856" s="1" t="s">
        <v>21</v>
      </c>
      <c r="O856" s="1" t="str">
        <f>IF(OR(TBL_Employees[[#This Row],[Exit Date]],FALSE),"Left employees", "Current employees")</f>
        <v>Current employees</v>
      </c>
    </row>
    <row r="857" spans="1:15" x14ac:dyDescent="0.35">
      <c r="A857" t="s">
        <v>134</v>
      </c>
      <c r="B857" t="s">
        <v>1756</v>
      </c>
      <c r="C857" t="s">
        <v>40</v>
      </c>
      <c r="D857" t="s">
        <v>43</v>
      </c>
      <c r="E857" t="s">
        <v>32</v>
      </c>
      <c r="F857" t="s">
        <v>28</v>
      </c>
      <c r="G857" t="s">
        <v>24</v>
      </c>
      <c r="H857">
        <v>49</v>
      </c>
      <c r="I857" s="1">
        <v>41816</v>
      </c>
      <c r="J857" s="2">
        <v>153961</v>
      </c>
      <c r="K857" s="3">
        <v>0.25</v>
      </c>
      <c r="L857" t="s">
        <v>33</v>
      </c>
      <c r="M857" t="s">
        <v>74</v>
      </c>
      <c r="N857" s="1" t="s">
        <v>21</v>
      </c>
      <c r="O857" s="1" t="str">
        <f>IF(OR(TBL_Employees[[#This Row],[Exit Date]],FALSE),"Left employees", "Current employees")</f>
        <v>Current employees</v>
      </c>
    </row>
    <row r="858" spans="1:15" x14ac:dyDescent="0.35">
      <c r="A858" t="s">
        <v>268</v>
      </c>
      <c r="B858" t="s">
        <v>1757</v>
      </c>
      <c r="C858" t="s">
        <v>71</v>
      </c>
      <c r="D858" t="s">
        <v>27</v>
      </c>
      <c r="E858" t="s">
        <v>44</v>
      </c>
      <c r="F858" t="s">
        <v>17</v>
      </c>
      <c r="G858" t="s">
        <v>24</v>
      </c>
      <c r="H858">
        <v>45</v>
      </c>
      <c r="I858" s="1">
        <v>39069</v>
      </c>
      <c r="J858" s="2">
        <v>68337</v>
      </c>
      <c r="K858" s="3">
        <v>0</v>
      </c>
      <c r="L858" t="s">
        <v>33</v>
      </c>
      <c r="M858" t="s">
        <v>80</v>
      </c>
      <c r="N858" s="1" t="s">
        <v>21</v>
      </c>
      <c r="O858" s="1" t="str">
        <f>IF(OR(TBL_Employees[[#This Row],[Exit Date]],FALSE),"Left employees", "Current employees")</f>
        <v>Current employees</v>
      </c>
    </row>
    <row r="859" spans="1:15" x14ac:dyDescent="0.35">
      <c r="A859" t="s">
        <v>275</v>
      </c>
      <c r="B859" t="s">
        <v>1758</v>
      </c>
      <c r="C859" t="s">
        <v>61</v>
      </c>
      <c r="D859" t="s">
        <v>23</v>
      </c>
      <c r="E859" t="s">
        <v>32</v>
      </c>
      <c r="F859" t="s">
        <v>28</v>
      </c>
      <c r="G859" t="s">
        <v>24</v>
      </c>
      <c r="H859">
        <v>45</v>
      </c>
      <c r="I859" s="1">
        <v>40305</v>
      </c>
      <c r="J859" s="2">
        <v>145093</v>
      </c>
      <c r="K859" s="3">
        <v>0.12</v>
      </c>
      <c r="L859" t="s">
        <v>19</v>
      </c>
      <c r="M859" t="s">
        <v>20</v>
      </c>
      <c r="N859" s="1" t="s">
        <v>21</v>
      </c>
      <c r="O859" s="1" t="str">
        <f>IF(OR(TBL_Employees[[#This Row],[Exit Date]],FALSE),"Left employees", "Current employees")</f>
        <v>Current employees</v>
      </c>
    </row>
    <row r="860" spans="1:15" x14ac:dyDescent="0.35">
      <c r="A860" t="s">
        <v>1759</v>
      </c>
      <c r="B860" t="s">
        <v>1760</v>
      </c>
      <c r="C860" t="s">
        <v>91</v>
      </c>
      <c r="D860" t="s">
        <v>27</v>
      </c>
      <c r="E860" t="s">
        <v>44</v>
      </c>
      <c r="F860" t="s">
        <v>17</v>
      </c>
      <c r="G860" t="s">
        <v>18</v>
      </c>
      <c r="H860">
        <v>26</v>
      </c>
      <c r="I860" s="1">
        <v>44266</v>
      </c>
      <c r="J860" s="2">
        <v>74170</v>
      </c>
      <c r="K860" s="3">
        <v>0</v>
      </c>
      <c r="L860" t="s">
        <v>19</v>
      </c>
      <c r="M860" t="s">
        <v>25</v>
      </c>
      <c r="N860" s="1" t="s">
        <v>21</v>
      </c>
      <c r="O860" s="1" t="str">
        <f>IF(OR(TBL_Employees[[#This Row],[Exit Date]],FALSE),"Left employees", "Current employees")</f>
        <v>Current employees</v>
      </c>
    </row>
    <row r="861" spans="1:15" x14ac:dyDescent="0.35">
      <c r="A861" t="s">
        <v>1761</v>
      </c>
      <c r="B861" t="s">
        <v>1762</v>
      </c>
      <c r="C861" t="s">
        <v>129</v>
      </c>
      <c r="D861" t="s">
        <v>31</v>
      </c>
      <c r="E861" t="s">
        <v>16</v>
      </c>
      <c r="F861" t="s">
        <v>28</v>
      </c>
      <c r="G861" t="s">
        <v>18</v>
      </c>
      <c r="H861">
        <v>59</v>
      </c>
      <c r="I861" s="1">
        <v>35153</v>
      </c>
      <c r="J861" s="2">
        <v>62605</v>
      </c>
      <c r="K861" s="3">
        <v>0</v>
      </c>
      <c r="L861" t="s">
        <v>19</v>
      </c>
      <c r="M861" t="s">
        <v>25</v>
      </c>
      <c r="N861" s="1" t="s">
        <v>21</v>
      </c>
      <c r="O861" s="1" t="str">
        <f>IF(OR(TBL_Employees[[#This Row],[Exit Date]],FALSE),"Left employees", "Current employees")</f>
        <v>Current employees</v>
      </c>
    </row>
    <row r="862" spans="1:15" x14ac:dyDescent="0.35">
      <c r="A862" t="s">
        <v>48</v>
      </c>
      <c r="B862" t="s">
        <v>1763</v>
      </c>
      <c r="C862" t="s">
        <v>62</v>
      </c>
      <c r="D862" t="s">
        <v>27</v>
      </c>
      <c r="E862" t="s">
        <v>44</v>
      </c>
      <c r="F862" t="s">
        <v>17</v>
      </c>
      <c r="G862" t="s">
        <v>18</v>
      </c>
      <c r="H862">
        <v>51</v>
      </c>
      <c r="I862" s="1">
        <v>43903</v>
      </c>
      <c r="J862" s="2">
        <v>107195</v>
      </c>
      <c r="K862" s="3">
        <v>0.09</v>
      </c>
      <c r="L862" t="s">
        <v>19</v>
      </c>
      <c r="M862" t="s">
        <v>25</v>
      </c>
      <c r="N862" s="1" t="s">
        <v>21</v>
      </c>
      <c r="O862" s="1" t="str">
        <f>IF(OR(TBL_Employees[[#This Row],[Exit Date]],FALSE),"Left employees", "Current employees")</f>
        <v>Current employees</v>
      </c>
    </row>
    <row r="863" spans="1:15" x14ac:dyDescent="0.35">
      <c r="A863" t="s">
        <v>1689</v>
      </c>
      <c r="B863" t="s">
        <v>1764</v>
      </c>
      <c r="C863" t="s">
        <v>61</v>
      </c>
      <c r="D863" t="s">
        <v>43</v>
      </c>
      <c r="E863" t="s">
        <v>44</v>
      </c>
      <c r="F863" t="s">
        <v>28</v>
      </c>
      <c r="G863" t="s">
        <v>18</v>
      </c>
      <c r="H863">
        <v>45</v>
      </c>
      <c r="I863" s="1">
        <v>43111</v>
      </c>
      <c r="J863" s="2">
        <v>127422</v>
      </c>
      <c r="K863" s="3">
        <v>0.15</v>
      </c>
      <c r="L863" t="s">
        <v>19</v>
      </c>
      <c r="M863" t="s">
        <v>29</v>
      </c>
      <c r="N863" s="1" t="s">
        <v>21</v>
      </c>
      <c r="O863" s="1" t="str">
        <f>IF(OR(TBL_Employees[[#This Row],[Exit Date]],FALSE),"Left employees", "Current employees")</f>
        <v>Current employees</v>
      </c>
    </row>
    <row r="864" spans="1:15" x14ac:dyDescent="0.35">
      <c r="A864" t="s">
        <v>1765</v>
      </c>
      <c r="B864" t="s">
        <v>1766</v>
      </c>
      <c r="C864" t="s">
        <v>40</v>
      </c>
      <c r="D864" t="s">
        <v>65</v>
      </c>
      <c r="E864" t="s">
        <v>16</v>
      </c>
      <c r="F864" t="s">
        <v>17</v>
      </c>
      <c r="G864" t="s">
        <v>18</v>
      </c>
      <c r="H864">
        <v>35</v>
      </c>
      <c r="I864" s="1">
        <v>42912</v>
      </c>
      <c r="J864" s="2">
        <v>161269</v>
      </c>
      <c r="K864" s="3">
        <v>0.27</v>
      </c>
      <c r="L864" t="s">
        <v>19</v>
      </c>
      <c r="M864" t="s">
        <v>45</v>
      </c>
      <c r="N864" s="1" t="s">
        <v>21</v>
      </c>
      <c r="O864" s="1" t="str">
        <f>IF(OR(TBL_Employees[[#This Row],[Exit Date]],FALSE),"Left employees", "Current employees")</f>
        <v>Current employees</v>
      </c>
    </row>
    <row r="865" spans="1:15" x14ac:dyDescent="0.35">
      <c r="A865" t="s">
        <v>1767</v>
      </c>
      <c r="B865" t="s">
        <v>1768</v>
      </c>
      <c r="C865" t="s">
        <v>14</v>
      </c>
      <c r="D865" t="s">
        <v>43</v>
      </c>
      <c r="E865" t="s">
        <v>32</v>
      </c>
      <c r="F865" t="s">
        <v>17</v>
      </c>
      <c r="G865" t="s">
        <v>51</v>
      </c>
      <c r="H865">
        <v>32</v>
      </c>
      <c r="I865" s="1">
        <v>41675</v>
      </c>
      <c r="J865" s="2">
        <v>203445</v>
      </c>
      <c r="K865" s="3">
        <v>0.34</v>
      </c>
      <c r="L865" t="s">
        <v>52</v>
      </c>
      <c r="M865" t="s">
        <v>81</v>
      </c>
      <c r="N865" s="1" t="s">
        <v>21</v>
      </c>
      <c r="O865" s="1" t="str">
        <f>IF(OR(TBL_Employees[[#This Row],[Exit Date]],FALSE),"Left employees", "Current employees")</f>
        <v>Current employees</v>
      </c>
    </row>
    <row r="866" spans="1:15" x14ac:dyDescent="0.35">
      <c r="A866" t="s">
        <v>355</v>
      </c>
      <c r="B866" t="s">
        <v>1769</v>
      </c>
      <c r="C866" t="s">
        <v>61</v>
      </c>
      <c r="D866" t="s">
        <v>23</v>
      </c>
      <c r="E866" t="s">
        <v>16</v>
      </c>
      <c r="F866" t="s">
        <v>17</v>
      </c>
      <c r="G866" t="s">
        <v>24</v>
      </c>
      <c r="H866">
        <v>37</v>
      </c>
      <c r="I866" s="1">
        <v>40560</v>
      </c>
      <c r="J866" s="2">
        <v>131353</v>
      </c>
      <c r="K866" s="3">
        <v>0.11</v>
      </c>
      <c r="L866" t="s">
        <v>33</v>
      </c>
      <c r="M866" t="s">
        <v>74</v>
      </c>
      <c r="N866" s="1" t="s">
        <v>21</v>
      </c>
      <c r="O866" s="1" t="str">
        <f>IF(OR(TBL_Employees[[#This Row],[Exit Date]],FALSE),"Left employees", "Current employees")</f>
        <v>Current employees</v>
      </c>
    </row>
    <row r="867" spans="1:15" x14ac:dyDescent="0.35">
      <c r="A867" t="s">
        <v>1770</v>
      </c>
      <c r="B867" t="s">
        <v>1771</v>
      </c>
      <c r="C867" t="s">
        <v>82</v>
      </c>
      <c r="D867" t="s">
        <v>27</v>
      </c>
      <c r="E867" t="s">
        <v>36</v>
      </c>
      <c r="F867" t="s">
        <v>28</v>
      </c>
      <c r="G867" t="s">
        <v>24</v>
      </c>
      <c r="H867">
        <v>45</v>
      </c>
      <c r="I867" s="1">
        <v>40253</v>
      </c>
      <c r="J867" s="2">
        <v>88182</v>
      </c>
      <c r="K867" s="3">
        <v>0</v>
      </c>
      <c r="L867" t="s">
        <v>33</v>
      </c>
      <c r="M867" t="s">
        <v>34</v>
      </c>
      <c r="N867" s="1" t="s">
        <v>21</v>
      </c>
      <c r="O867" s="1" t="str">
        <f>IF(OR(TBL_Employees[[#This Row],[Exit Date]],FALSE),"Left employees", "Current employees")</f>
        <v>Current employees</v>
      </c>
    </row>
    <row r="868" spans="1:15" x14ac:dyDescent="0.35">
      <c r="A868" t="s">
        <v>163</v>
      </c>
      <c r="B868" t="s">
        <v>1772</v>
      </c>
      <c r="C868" t="s">
        <v>26</v>
      </c>
      <c r="D868" t="s">
        <v>27</v>
      </c>
      <c r="E868" t="s">
        <v>44</v>
      </c>
      <c r="F868" t="s">
        <v>28</v>
      </c>
      <c r="G868" t="s">
        <v>18</v>
      </c>
      <c r="H868">
        <v>61</v>
      </c>
      <c r="I868" s="1">
        <v>43703</v>
      </c>
      <c r="J868" s="2">
        <v>75780</v>
      </c>
      <c r="K868" s="3">
        <v>0</v>
      </c>
      <c r="L868" t="s">
        <v>19</v>
      </c>
      <c r="M868" t="s">
        <v>63</v>
      </c>
      <c r="N868" s="1" t="s">
        <v>21</v>
      </c>
      <c r="O868" s="1" t="str">
        <f>IF(OR(TBL_Employees[[#This Row],[Exit Date]],FALSE),"Left employees", "Current employees")</f>
        <v>Current employees</v>
      </c>
    </row>
    <row r="869" spans="1:15" x14ac:dyDescent="0.35">
      <c r="A869" t="s">
        <v>1773</v>
      </c>
      <c r="B869" t="s">
        <v>1774</v>
      </c>
      <c r="C869" t="s">
        <v>64</v>
      </c>
      <c r="D869" t="s">
        <v>50</v>
      </c>
      <c r="E869" t="s">
        <v>16</v>
      </c>
      <c r="F869" t="s">
        <v>17</v>
      </c>
      <c r="G869" t="s">
        <v>24</v>
      </c>
      <c r="H869">
        <v>45</v>
      </c>
      <c r="I869" s="1">
        <v>43557</v>
      </c>
      <c r="J869" s="2">
        <v>52621</v>
      </c>
      <c r="K869" s="3">
        <v>0</v>
      </c>
      <c r="L869" t="s">
        <v>33</v>
      </c>
      <c r="M869" t="s">
        <v>60</v>
      </c>
      <c r="N869" s="1" t="s">
        <v>21</v>
      </c>
      <c r="O869" s="1" t="str">
        <f>IF(OR(TBL_Employees[[#This Row],[Exit Date]],FALSE),"Left employees", "Current employees")</f>
        <v>Current employees</v>
      </c>
    </row>
    <row r="870" spans="1:15" x14ac:dyDescent="0.35">
      <c r="A870" t="s">
        <v>1775</v>
      </c>
      <c r="B870" t="s">
        <v>1776</v>
      </c>
      <c r="C870" t="s">
        <v>97</v>
      </c>
      <c r="D870" t="s">
        <v>31</v>
      </c>
      <c r="E870" t="s">
        <v>16</v>
      </c>
      <c r="F870" t="s">
        <v>28</v>
      </c>
      <c r="G870" t="s">
        <v>24</v>
      </c>
      <c r="H870">
        <v>60</v>
      </c>
      <c r="I870" s="1">
        <v>43146</v>
      </c>
      <c r="J870" s="2">
        <v>106079</v>
      </c>
      <c r="K870" s="3">
        <v>0.14000000000000001</v>
      </c>
      <c r="L870" t="s">
        <v>19</v>
      </c>
      <c r="M870" t="s">
        <v>25</v>
      </c>
      <c r="N870" s="1">
        <v>44295</v>
      </c>
      <c r="O870" s="1" t="str">
        <f>IF(OR(TBL_Employees[[#This Row],[Exit Date]],FALSE),"Left employees", "Current employees")</f>
        <v>Left employees</v>
      </c>
    </row>
    <row r="871" spans="1:15" x14ac:dyDescent="0.35">
      <c r="A871" t="s">
        <v>1777</v>
      </c>
      <c r="B871" t="s">
        <v>1778</v>
      </c>
      <c r="C871" t="s">
        <v>38</v>
      </c>
      <c r="D871" t="s">
        <v>27</v>
      </c>
      <c r="E871" t="s">
        <v>32</v>
      </c>
      <c r="F871" t="s">
        <v>28</v>
      </c>
      <c r="G871" t="s">
        <v>51</v>
      </c>
      <c r="H871">
        <v>30</v>
      </c>
      <c r="I871" s="1">
        <v>42777</v>
      </c>
      <c r="J871" s="2">
        <v>92058</v>
      </c>
      <c r="K871" s="3">
        <v>0</v>
      </c>
      <c r="L871" t="s">
        <v>19</v>
      </c>
      <c r="M871" t="s">
        <v>25</v>
      </c>
      <c r="N871" s="1" t="s">
        <v>21</v>
      </c>
      <c r="O871" s="1" t="str">
        <f>IF(OR(TBL_Employees[[#This Row],[Exit Date]],FALSE),"Left employees", "Current employees")</f>
        <v>Current employees</v>
      </c>
    </row>
    <row r="872" spans="1:15" x14ac:dyDescent="0.35">
      <c r="A872" t="s">
        <v>1779</v>
      </c>
      <c r="B872" t="s">
        <v>1780</v>
      </c>
      <c r="C872" t="s">
        <v>129</v>
      </c>
      <c r="D872" t="s">
        <v>31</v>
      </c>
      <c r="E872" t="s">
        <v>36</v>
      </c>
      <c r="F872" t="s">
        <v>28</v>
      </c>
      <c r="G872" t="s">
        <v>24</v>
      </c>
      <c r="H872">
        <v>64</v>
      </c>
      <c r="I872" s="1">
        <v>43527</v>
      </c>
      <c r="J872" s="2">
        <v>67114</v>
      </c>
      <c r="K872" s="3">
        <v>0</v>
      </c>
      <c r="L872" t="s">
        <v>19</v>
      </c>
      <c r="M872" t="s">
        <v>39</v>
      </c>
      <c r="N872" s="1" t="s">
        <v>21</v>
      </c>
      <c r="O872" s="1" t="str">
        <f>IF(OR(TBL_Employees[[#This Row],[Exit Date]],FALSE),"Left employees", "Current employees")</f>
        <v>Current employees</v>
      </c>
    </row>
    <row r="873" spans="1:15" x14ac:dyDescent="0.35">
      <c r="A873" t="s">
        <v>1781</v>
      </c>
      <c r="B873" t="s">
        <v>1782</v>
      </c>
      <c r="C873" t="s">
        <v>64</v>
      </c>
      <c r="D873" t="s">
        <v>15</v>
      </c>
      <c r="E873" t="s">
        <v>16</v>
      </c>
      <c r="F873" t="s">
        <v>17</v>
      </c>
      <c r="G873" t="s">
        <v>51</v>
      </c>
      <c r="H873">
        <v>25</v>
      </c>
      <c r="I873" s="1">
        <v>44024</v>
      </c>
      <c r="J873" s="2">
        <v>56565</v>
      </c>
      <c r="K873" s="3">
        <v>0</v>
      </c>
      <c r="L873" t="s">
        <v>52</v>
      </c>
      <c r="M873" t="s">
        <v>53</v>
      </c>
      <c r="N873" s="1" t="s">
        <v>21</v>
      </c>
      <c r="O873" s="1" t="str">
        <f>IF(OR(TBL_Employees[[#This Row],[Exit Date]],FALSE),"Left employees", "Current employees")</f>
        <v>Current employees</v>
      </c>
    </row>
    <row r="874" spans="1:15" x14ac:dyDescent="0.35">
      <c r="A874" t="s">
        <v>118</v>
      </c>
      <c r="B874" t="s">
        <v>1783</v>
      </c>
      <c r="C874" t="s">
        <v>22</v>
      </c>
      <c r="D874" t="s">
        <v>23</v>
      </c>
      <c r="E874" t="s">
        <v>36</v>
      </c>
      <c r="F874" t="s">
        <v>17</v>
      </c>
      <c r="G874" t="s">
        <v>18</v>
      </c>
      <c r="H874">
        <v>61</v>
      </c>
      <c r="I874" s="1">
        <v>40683</v>
      </c>
      <c r="J874" s="2">
        <v>64937</v>
      </c>
      <c r="K874" s="3">
        <v>0</v>
      </c>
      <c r="L874" t="s">
        <v>19</v>
      </c>
      <c r="M874" t="s">
        <v>39</v>
      </c>
      <c r="N874" s="1" t="s">
        <v>21</v>
      </c>
      <c r="O874" s="1" t="str">
        <f>IF(OR(TBL_Employees[[#This Row],[Exit Date]],FALSE),"Left employees", "Current employees")</f>
        <v>Current employees</v>
      </c>
    </row>
    <row r="875" spans="1:15" x14ac:dyDescent="0.35">
      <c r="A875" t="s">
        <v>1784</v>
      </c>
      <c r="B875" t="s">
        <v>1785</v>
      </c>
      <c r="C875" t="s">
        <v>62</v>
      </c>
      <c r="D875" t="s">
        <v>43</v>
      </c>
      <c r="E875" t="s">
        <v>36</v>
      </c>
      <c r="F875" t="s">
        <v>17</v>
      </c>
      <c r="G875" t="s">
        <v>51</v>
      </c>
      <c r="H875">
        <v>65</v>
      </c>
      <c r="I875" s="1">
        <v>38967</v>
      </c>
      <c r="J875" s="2">
        <v>127626</v>
      </c>
      <c r="K875" s="3">
        <v>0.1</v>
      </c>
      <c r="L875" t="s">
        <v>19</v>
      </c>
      <c r="M875" t="s">
        <v>45</v>
      </c>
      <c r="N875" s="1" t="s">
        <v>21</v>
      </c>
      <c r="O875" s="1" t="str">
        <f>IF(OR(TBL_Employees[[#This Row],[Exit Date]],FALSE),"Left employees", "Current employees")</f>
        <v>Current employees</v>
      </c>
    </row>
    <row r="876" spans="1:15" x14ac:dyDescent="0.35">
      <c r="A876" t="s">
        <v>360</v>
      </c>
      <c r="B876" t="s">
        <v>1786</v>
      </c>
      <c r="C876" t="s">
        <v>71</v>
      </c>
      <c r="D876" t="s">
        <v>27</v>
      </c>
      <c r="E876" t="s">
        <v>32</v>
      </c>
      <c r="F876" t="s">
        <v>28</v>
      </c>
      <c r="G876" t="s">
        <v>47</v>
      </c>
      <c r="H876">
        <v>61</v>
      </c>
      <c r="I876" s="1">
        <v>38013</v>
      </c>
      <c r="J876" s="2">
        <v>88478</v>
      </c>
      <c r="K876" s="3">
        <v>0</v>
      </c>
      <c r="L876" t="s">
        <v>19</v>
      </c>
      <c r="M876" t="s">
        <v>25</v>
      </c>
      <c r="N876" s="1" t="s">
        <v>21</v>
      </c>
      <c r="O876" s="1" t="str">
        <f>IF(OR(TBL_Employees[[#This Row],[Exit Date]],FALSE),"Left employees", "Current employees")</f>
        <v>Current employees</v>
      </c>
    </row>
    <row r="877" spans="1:15" x14ac:dyDescent="0.35">
      <c r="A877" t="s">
        <v>1787</v>
      </c>
      <c r="B877" t="s">
        <v>1788</v>
      </c>
      <c r="C877" t="s">
        <v>56</v>
      </c>
      <c r="D877" t="s">
        <v>27</v>
      </c>
      <c r="E877" t="s">
        <v>44</v>
      </c>
      <c r="F877" t="s">
        <v>17</v>
      </c>
      <c r="G877" t="s">
        <v>24</v>
      </c>
      <c r="H877">
        <v>48</v>
      </c>
      <c r="I877" s="1">
        <v>41749</v>
      </c>
      <c r="J877" s="2">
        <v>91679</v>
      </c>
      <c r="K877" s="3">
        <v>7.0000000000000007E-2</v>
      </c>
      <c r="L877" t="s">
        <v>33</v>
      </c>
      <c r="M877" t="s">
        <v>80</v>
      </c>
      <c r="N877" s="1" t="s">
        <v>21</v>
      </c>
      <c r="O877" s="1" t="str">
        <f>IF(OR(TBL_Employees[[#This Row],[Exit Date]],FALSE),"Left employees", "Current employees")</f>
        <v>Current employees</v>
      </c>
    </row>
    <row r="878" spans="1:15" x14ac:dyDescent="0.35">
      <c r="A878" t="s">
        <v>249</v>
      </c>
      <c r="B878" t="s">
        <v>140</v>
      </c>
      <c r="C878" t="s">
        <v>40</v>
      </c>
      <c r="D878" t="s">
        <v>50</v>
      </c>
      <c r="E878" t="s">
        <v>32</v>
      </c>
      <c r="F878" t="s">
        <v>28</v>
      </c>
      <c r="G878" t="s">
        <v>24</v>
      </c>
      <c r="H878">
        <v>58</v>
      </c>
      <c r="I878" s="1">
        <v>33682</v>
      </c>
      <c r="J878" s="2">
        <v>199848</v>
      </c>
      <c r="K878" s="3">
        <v>0.16</v>
      </c>
      <c r="L878" t="s">
        <v>33</v>
      </c>
      <c r="M878" t="s">
        <v>80</v>
      </c>
      <c r="N878" s="1" t="s">
        <v>21</v>
      </c>
      <c r="O878" s="1" t="str">
        <f>IF(OR(TBL_Employees[[#This Row],[Exit Date]],FALSE),"Left employees", "Current employees")</f>
        <v>Current employees</v>
      </c>
    </row>
    <row r="879" spans="1:15" x14ac:dyDescent="0.35">
      <c r="A879" t="s">
        <v>395</v>
      </c>
      <c r="B879" t="s">
        <v>1789</v>
      </c>
      <c r="C879" t="s">
        <v>35</v>
      </c>
      <c r="D879" t="s">
        <v>27</v>
      </c>
      <c r="E879" t="s">
        <v>36</v>
      </c>
      <c r="F879" t="s">
        <v>28</v>
      </c>
      <c r="G879" t="s">
        <v>24</v>
      </c>
      <c r="H879">
        <v>34</v>
      </c>
      <c r="I879" s="1">
        <v>43414</v>
      </c>
      <c r="J879" s="2">
        <v>61944</v>
      </c>
      <c r="K879" s="3">
        <v>0</v>
      </c>
      <c r="L879" t="s">
        <v>33</v>
      </c>
      <c r="M879" t="s">
        <v>74</v>
      </c>
      <c r="N879" s="1" t="s">
        <v>21</v>
      </c>
      <c r="O879" s="1" t="str">
        <f>IF(OR(TBL_Employees[[#This Row],[Exit Date]],FALSE),"Left employees", "Current employees")</f>
        <v>Current employees</v>
      </c>
    </row>
    <row r="880" spans="1:15" x14ac:dyDescent="0.35">
      <c r="A880" t="s">
        <v>1790</v>
      </c>
      <c r="B880" t="s">
        <v>1791</v>
      </c>
      <c r="C880" t="s">
        <v>61</v>
      </c>
      <c r="D880" t="s">
        <v>50</v>
      </c>
      <c r="E880" t="s">
        <v>44</v>
      </c>
      <c r="F880" t="s">
        <v>17</v>
      </c>
      <c r="G880" t="s">
        <v>47</v>
      </c>
      <c r="H880">
        <v>30</v>
      </c>
      <c r="I880" s="1">
        <v>42960</v>
      </c>
      <c r="J880" s="2">
        <v>154624</v>
      </c>
      <c r="K880" s="3">
        <v>0.15</v>
      </c>
      <c r="L880" t="s">
        <v>19</v>
      </c>
      <c r="M880" t="s">
        <v>25</v>
      </c>
      <c r="N880" s="1" t="s">
        <v>21</v>
      </c>
      <c r="O880" s="1" t="str">
        <f>IF(OR(TBL_Employees[[#This Row],[Exit Date]],FALSE),"Left employees", "Current employees")</f>
        <v>Current employees</v>
      </c>
    </row>
    <row r="881" spans="1:15" x14ac:dyDescent="0.35">
      <c r="A881" t="s">
        <v>1792</v>
      </c>
      <c r="B881" t="s">
        <v>1793</v>
      </c>
      <c r="C881" t="s">
        <v>42</v>
      </c>
      <c r="D881" t="s">
        <v>65</v>
      </c>
      <c r="E881" t="s">
        <v>16</v>
      </c>
      <c r="F881" t="s">
        <v>28</v>
      </c>
      <c r="G881" t="s">
        <v>24</v>
      </c>
      <c r="H881">
        <v>50</v>
      </c>
      <c r="I881" s="1">
        <v>40109</v>
      </c>
      <c r="J881" s="2">
        <v>79447</v>
      </c>
      <c r="K881" s="3">
        <v>0</v>
      </c>
      <c r="L881" t="s">
        <v>33</v>
      </c>
      <c r="M881" t="s">
        <v>74</v>
      </c>
      <c r="N881" s="1" t="s">
        <v>21</v>
      </c>
      <c r="O881" s="1" t="str">
        <f>IF(OR(TBL_Employees[[#This Row],[Exit Date]],FALSE),"Left employees", "Current employees")</f>
        <v>Current employees</v>
      </c>
    </row>
    <row r="882" spans="1:15" x14ac:dyDescent="0.35">
      <c r="A882" t="s">
        <v>166</v>
      </c>
      <c r="B882" t="s">
        <v>1794</v>
      </c>
      <c r="C882" t="s">
        <v>42</v>
      </c>
      <c r="D882" t="s">
        <v>50</v>
      </c>
      <c r="E882" t="s">
        <v>36</v>
      </c>
      <c r="F882" t="s">
        <v>28</v>
      </c>
      <c r="G882" t="s">
        <v>51</v>
      </c>
      <c r="H882">
        <v>51</v>
      </c>
      <c r="I882" s="1">
        <v>35852</v>
      </c>
      <c r="J882" s="2">
        <v>71111</v>
      </c>
      <c r="K882" s="3">
        <v>0</v>
      </c>
      <c r="L882" t="s">
        <v>52</v>
      </c>
      <c r="M882" t="s">
        <v>66</v>
      </c>
      <c r="N882" s="1" t="s">
        <v>21</v>
      </c>
      <c r="O882" s="1" t="str">
        <f>IF(OR(TBL_Employees[[#This Row],[Exit Date]],FALSE),"Left employees", "Current employees")</f>
        <v>Current employees</v>
      </c>
    </row>
    <row r="883" spans="1:15" x14ac:dyDescent="0.35">
      <c r="A883" t="s">
        <v>1795</v>
      </c>
      <c r="B883" t="s">
        <v>1796</v>
      </c>
      <c r="C883" t="s">
        <v>61</v>
      </c>
      <c r="D883" t="s">
        <v>50</v>
      </c>
      <c r="E883" t="s">
        <v>16</v>
      </c>
      <c r="F883" t="s">
        <v>28</v>
      </c>
      <c r="G883" t="s">
        <v>18</v>
      </c>
      <c r="H883">
        <v>53</v>
      </c>
      <c r="I883" s="1">
        <v>41931</v>
      </c>
      <c r="J883" s="2">
        <v>159538</v>
      </c>
      <c r="K883" s="3">
        <v>0.11</v>
      </c>
      <c r="L883" t="s">
        <v>19</v>
      </c>
      <c r="M883" t="s">
        <v>45</v>
      </c>
      <c r="N883" s="1" t="s">
        <v>21</v>
      </c>
      <c r="O883" s="1" t="str">
        <f>IF(OR(TBL_Employees[[#This Row],[Exit Date]],FALSE),"Left employees", "Current employees")</f>
        <v>Current employees</v>
      </c>
    </row>
    <row r="884" spans="1:15" x14ac:dyDescent="0.35">
      <c r="A884" t="s">
        <v>1472</v>
      </c>
      <c r="B884" t="s">
        <v>1797</v>
      </c>
      <c r="C884" t="s">
        <v>84</v>
      </c>
      <c r="D884" t="s">
        <v>31</v>
      </c>
      <c r="E884" t="s">
        <v>32</v>
      </c>
      <c r="F884" t="s">
        <v>17</v>
      </c>
      <c r="G884" t="s">
        <v>51</v>
      </c>
      <c r="H884">
        <v>47</v>
      </c>
      <c r="I884" s="1">
        <v>43375</v>
      </c>
      <c r="J884" s="2">
        <v>111404</v>
      </c>
      <c r="K884" s="3">
        <v>0</v>
      </c>
      <c r="L884" t="s">
        <v>52</v>
      </c>
      <c r="M884" t="s">
        <v>66</v>
      </c>
      <c r="N884" s="1" t="s">
        <v>21</v>
      </c>
      <c r="O884" s="1" t="str">
        <f>IF(OR(TBL_Employees[[#This Row],[Exit Date]],FALSE),"Left employees", "Current employees")</f>
        <v>Current employees</v>
      </c>
    </row>
    <row r="885" spans="1:15" x14ac:dyDescent="0.35">
      <c r="A885" t="s">
        <v>1798</v>
      </c>
      <c r="B885" t="s">
        <v>1799</v>
      </c>
      <c r="C885" t="s">
        <v>40</v>
      </c>
      <c r="D885" t="s">
        <v>43</v>
      </c>
      <c r="E885" t="s">
        <v>44</v>
      </c>
      <c r="F885" t="s">
        <v>28</v>
      </c>
      <c r="G885" t="s">
        <v>18</v>
      </c>
      <c r="H885">
        <v>25</v>
      </c>
      <c r="I885" s="1">
        <v>44058</v>
      </c>
      <c r="J885" s="2">
        <v>172007</v>
      </c>
      <c r="K885" s="3">
        <v>0.26</v>
      </c>
      <c r="L885" t="s">
        <v>19</v>
      </c>
      <c r="M885" t="s">
        <v>45</v>
      </c>
      <c r="N885" s="1" t="s">
        <v>21</v>
      </c>
      <c r="O885" s="1" t="str">
        <f>IF(OR(TBL_Employees[[#This Row],[Exit Date]],FALSE),"Left employees", "Current employees")</f>
        <v>Current employees</v>
      </c>
    </row>
    <row r="886" spans="1:15" x14ac:dyDescent="0.35">
      <c r="A886" t="s">
        <v>1800</v>
      </c>
      <c r="B886" t="s">
        <v>1801</v>
      </c>
      <c r="C886" t="s">
        <v>14</v>
      </c>
      <c r="D886" t="s">
        <v>43</v>
      </c>
      <c r="E886" t="s">
        <v>36</v>
      </c>
      <c r="F886" t="s">
        <v>17</v>
      </c>
      <c r="G886" t="s">
        <v>51</v>
      </c>
      <c r="H886">
        <v>37</v>
      </c>
      <c r="I886" s="1">
        <v>40745</v>
      </c>
      <c r="J886" s="2">
        <v>219474</v>
      </c>
      <c r="K886" s="3">
        <v>0.36</v>
      </c>
      <c r="L886" t="s">
        <v>52</v>
      </c>
      <c r="M886" t="s">
        <v>81</v>
      </c>
      <c r="N886" s="1" t="s">
        <v>21</v>
      </c>
      <c r="O886" s="1" t="str">
        <f>IF(OR(TBL_Employees[[#This Row],[Exit Date]],FALSE),"Left employees", "Current employees")</f>
        <v>Current employees</v>
      </c>
    </row>
    <row r="887" spans="1:15" x14ac:dyDescent="0.35">
      <c r="A887" t="s">
        <v>1802</v>
      </c>
      <c r="B887" t="s">
        <v>1803</v>
      </c>
      <c r="C887" t="s">
        <v>40</v>
      </c>
      <c r="D887" t="s">
        <v>15</v>
      </c>
      <c r="E887" t="s">
        <v>32</v>
      </c>
      <c r="F887" t="s">
        <v>28</v>
      </c>
      <c r="G887" t="s">
        <v>18</v>
      </c>
      <c r="H887">
        <v>41</v>
      </c>
      <c r="I887" s="1">
        <v>43600</v>
      </c>
      <c r="J887" s="2">
        <v>174415</v>
      </c>
      <c r="K887" s="3">
        <v>0.23</v>
      </c>
      <c r="L887" t="s">
        <v>19</v>
      </c>
      <c r="M887" t="s">
        <v>45</v>
      </c>
      <c r="N887" s="1" t="s">
        <v>21</v>
      </c>
      <c r="O887" s="1" t="str">
        <f>IF(OR(TBL_Employees[[#This Row],[Exit Date]],FALSE),"Left employees", "Current employees")</f>
        <v>Current employees</v>
      </c>
    </row>
    <row r="888" spans="1:15" x14ac:dyDescent="0.35">
      <c r="A888" t="s">
        <v>1804</v>
      </c>
      <c r="B888" t="s">
        <v>1805</v>
      </c>
      <c r="C888" t="s">
        <v>71</v>
      </c>
      <c r="D888" t="s">
        <v>27</v>
      </c>
      <c r="E888" t="s">
        <v>44</v>
      </c>
      <c r="F888" t="s">
        <v>17</v>
      </c>
      <c r="G888" t="s">
        <v>51</v>
      </c>
      <c r="H888">
        <v>36</v>
      </c>
      <c r="I888" s="1">
        <v>44217</v>
      </c>
      <c r="J888" s="2">
        <v>90333</v>
      </c>
      <c r="K888" s="3">
        <v>0</v>
      </c>
      <c r="L888" t="s">
        <v>52</v>
      </c>
      <c r="M888" t="s">
        <v>66</v>
      </c>
      <c r="N888" s="1" t="s">
        <v>21</v>
      </c>
      <c r="O888" s="1" t="str">
        <f>IF(OR(TBL_Employees[[#This Row],[Exit Date]],FALSE),"Left employees", "Current employees")</f>
        <v>Current employees</v>
      </c>
    </row>
    <row r="889" spans="1:15" x14ac:dyDescent="0.35">
      <c r="A889" t="s">
        <v>1806</v>
      </c>
      <c r="B889" t="s">
        <v>1807</v>
      </c>
      <c r="C889" t="s">
        <v>22</v>
      </c>
      <c r="D889" t="s">
        <v>23</v>
      </c>
      <c r="E889" t="s">
        <v>44</v>
      </c>
      <c r="F889" t="s">
        <v>28</v>
      </c>
      <c r="G889" t="s">
        <v>24</v>
      </c>
      <c r="H889">
        <v>25</v>
      </c>
      <c r="I889" s="1">
        <v>44217</v>
      </c>
      <c r="J889" s="2">
        <v>67299</v>
      </c>
      <c r="K889" s="3">
        <v>0</v>
      </c>
      <c r="L889" t="s">
        <v>19</v>
      </c>
      <c r="M889" t="s">
        <v>39</v>
      </c>
      <c r="N889" s="1" t="s">
        <v>21</v>
      </c>
      <c r="O889" s="1" t="str">
        <f>IF(OR(TBL_Employees[[#This Row],[Exit Date]],FALSE),"Left employees", "Current employees")</f>
        <v>Current employees</v>
      </c>
    </row>
    <row r="890" spans="1:15" x14ac:dyDescent="0.35">
      <c r="A890" t="s">
        <v>304</v>
      </c>
      <c r="B890" t="s">
        <v>1808</v>
      </c>
      <c r="C890" t="s">
        <v>76</v>
      </c>
      <c r="D890" t="s">
        <v>27</v>
      </c>
      <c r="E890" t="s">
        <v>16</v>
      </c>
      <c r="F890" t="s">
        <v>17</v>
      </c>
      <c r="G890" t="s">
        <v>18</v>
      </c>
      <c r="H890">
        <v>52</v>
      </c>
      <c r="I890" s="1">
        <v>38406</v>
      </c>
      <c r="J890" s="2">
        <v>45286</v>
      </c>
      <c r="K890" s="3">
        <v>0</v>
      </c>
      <c r="L890" t="s">
        <v>19</v>
      </c>
      <c r="M890" t="s">
        <v>20</v>
      </c>
      <c r="N890" s="1" t="s">
        <v>21</v>
      </c>
      <c r="O890" s="1" t="str">
        <f>IF(OR(TBL_Employees[[#This Row],[Exit Date]],FALSE),"Left employees", "Current employees")</f>
        <v>Current employees</v>
      </c>
    </row>
    <row r="891" spans="1:15" x14ac:dyDescent="0.35">
      <c r="A891" t="s">
        <v>323</v>
      </c>
      <c r="B891" t="s">
        <v>1809</v>
      </c>
      <c r="C891" t="s">
        <v>40</v>
      </c>
      <c r="D891" t="s">
        <v>43</v>
      </c>
      <c r="E891" t="s">
        <v>16</v>
      </c>
      <c r="F891" t="s">
        <v>28</v>
      </c>
      <c r="G891" t="s">
        <v>18</v>
      </c>
      <c r="H891">
        <v>48</v>
      </c>
      <c r="I891" s="1">
        <v>39302</v>
      </c>
      <c r="J891" s="2">
        <v>194723</v>
      </c>
      <c r="K891" s="3">
        <v>0.25</v>
      </c>
      <c r="L891" t="s">
        <v>19</v>
      </c>
      <c r="M891" t="s">
        <v>39</v>
      </c>
      <c r="N891" s="1" t="s">
        <v>21</v>
      </c>
      <c r="O891" s="1" t="str">
        <f>IF(OR(TBL_Employees[[#This Row],[Exit Date]],FALSE),"Left employees", "Current employees")</f>
        <v>Current employees</v>
      </c>
    </row>
    <row r="892" spans="1:15" x14ac:dyDescent="0.35">
      <c r="A892" t="s">
        <v>295</v>
      </c>
      <c r="B892" t="s">
        <v>1810</v>
      </c>
      <c r="C892" t="s">
        <v>62</v>
      </c>
      <c r="D892" t="s">
        <v>50</v>
      </c>
      <c r="E892" t="s">
        <v>16</v>
      </c>
      <c r="F892" t="s">
        <v>28</v>
      </c>
      <c r="G892" t="s">
        <v>24</v>
      </c>
      <c r="H892">
        <v>49</v>
      </c>
      <c r="I892" s="1">
        <v>41131</v>
      </c>
      <c r="J892" s="2">
        <v>109850</v>
      </c>
      <c r="K892" s="3">
        <v>7.0000000000000007E-2</v>
      </c>
      <c r="L892" t="s">
        <v>33</v>
      </c>
      <c r="M892" t="s">
        <v>60</v>
      </c>
      <c r="N892" s="1">
        <v>43865</v>
      </c>
      <c r="O892" s="1" t="str">
        <f>IF(OR(TBL_Employees[[#This Row],[Exit Date]],FALSE),"Left employees", "Current employees")</f>
        <v>Left employees</v>
      </c>
    </row>
    <row r="893" spans="1:15" x14ac:dyDescent="0.35">
      <c r="A893" t="s">
        <v>329</v>
      </c>
      <c r="B893" t="s">
        <v>1811</v>
      </c>
      <c r="C893" t="s">
        <v>83</v>
      </c>
      <c r="D893" t="s">
        <v>23</v>
      </c>
      <c r="E893" t="s">
        <v>16</v>
      </c>
      <c r="F893" t="s">
        <v>17</v>
      </c>
      <c r="G893" t="s">
        <v>51</v>
      </c>
      <c r="H893">
        <v>62</v>
      </c>
      <c r="I893" s="1">
        <v>41748</v>
      </c>
      <c r="J893" s="2">
        <v>45295</v>
      </c>
      <c r="K893" s="3">
        <v>0</v>
      </c>
      <c r="L893" t="s">
        <v>52</v>
      </c>
      <c r="M893" t="s">
        <v>53</v>
      </c>
      <c r="N893" s="1" t="s">
        <v>21</v>
      </c>
      <c r="O893" s="1" t="str">
        <f>IF(OR(TBL_Employees[[#This Row],[Exit Date]],FALSE),"Left employees", "Current employees")</f>
        <v>Current employees</v>
      </c>
    </row>
    <row r="894" spans="1:15" x14ac:dyDescent="0.35">
      <c r="A894" t="s">
        <v>41</v>
      </c>
      <c r="B894" t="s">
        <v>1812</v>
      </c>
      <c r="C894" t="s">
        <v>89</v>
      </c>
      <c r="D894" t="s">
        <v>27</v>
      </c>
      <c r="E894" t="s">
        <v>36</v>
      </c>
      <c r="F894" t="s">
        <v>17</v>
      </c>
      <c r="G894" t="s">
        <v>18</v>
      </c>
      <c r="H894">
        <v>36</v>
      </c>
      <c r="I894" s="1">
        <v>40413</v>
      </c>
      <c r="J894" s="2">
        <v>61310</v>
      </c>
      <c r="K894" s="3">
        <v>0</v>
      </c>
      <c r="L894" t="s">
        <v>19</v>
      </c>
      <c r="M894" t="s">
        <v>39</v>
      </c>
      <c r="N894" s="1" t="s">
        <v>21</v>
      </c>
      <c r="O894" s="1" t="str">
        <f>IF(OR(TBL_Employees[[#This Row],[Exit Date]],FALSE),"Left employees", "Current employees")</f>
        <v>Current employees</v>
      </c>
    </row>
    <row r="895" spans="1:15" x14ac:dyDescent="0.35">
      <c r="A895" t="s">
        <v>117</v>
      </c>
      <c r="B895" t="s">
        <v>1621</v>
      </c>
      <c r="C895" t="s">
        <v>98</v>
      </c>
      <c r="D895" t="s">
        <v>27</v>
      </c>
      <c r="E895" t="s">
        <v>16</v>
      </c>
      <c r="F895" t="s">
        <v>28</v>
      </c>
      <c r="G895" t="s">
        <v>24</v>
      </c>
      <c r="H895">
        <v>55</v>
      </c>
      <c r="I895" s="1">
        <v>42683</v>
      </c>
      <c r="J895" s="2">
        <v>87851</v>
      </c>
      <c r="K895" s="3">
        <v>0</v>
      </c>
      <c r="L895" t="s">
        <v>33</v>
      </c>
      <c r="M895" t="s">
        <v>80</v>
      </c>
      <c r="N895" s="1" t="s">
        <v>21</v>
      </c>
      <c r="O895" s="1" t="str">
        <f>IF(OR(TBL_Employees[[#This Row],[Exit Date]],FALSE),"Left employees", "Current employees")</f>
        <v>Current employees</v>
      </c>
    </row>
    <row r="896" spans="1:15" x14ac:dyDescent="0.35">
      <c r="A896" t="s">
        <v>341</v>
      </c>
      <c r="B896" t="s">
        <v>1813</v>
      </c>
      <c r="C896" t="s">
        <v>83</v>
      </c>
      <c r="D896" t="s">
        <v>23</v>
      </c>
      <c r="E896" t="s">
        <v>44</v>
      </c>
      <c r="F896" t="s">
        <v>17</v>
      </c>
      <c r="G896" t="s">
        <v>24</v>
      </c>
      <c r="H896">
        <v>31</v>
      </c>
      <c r="I896" s="1">
        <v>43171</v>
      </c>
      <c r="J896" s="2">
        <v>47913</v>
      </c>
      <c r="K896" s="3">
        <v>0</v>
      </c>
      <c r="L896" t="s">
        <v>19</v>
      </c>
      <c r="M896" t="s">
        <v>63</v>
      </c>
      <c r="N896" s="1" t="s">
        <v>21</v>
      </c>
      <c r="O896" s="1" t="str">
        <f>IF(OR(TBL_Employees[[#This Row],[Exit Date]],FALSE),"Left employees", "Current employees")</f>
        <v>Current employees</v>
      </c>
    </row>
    <row r="897" spans="1:15" x14ac:dyDescent="0.35">
      <c r="A897" t="s">
        <v>1814</v>
      </c>
      <c r="B897" t="s">
        <v>1815</v>
      </c>
      <c r="C897" t="s">
        <v>83</v>
      </c>
      <c r="D897" t="s">
        <v>23</v>
      </c>
      <c r="E897" t="s">
        <v>44</v>
      </c>
      <c r="F897" t="s">
        <v>17</v>
      </c>
      <c r="G897" t="s">
        <v>24</v>
      </c>
      <c r="H897">
        <v>53</v>
      </c>
      <c r="I897" s="1">
        <v>42985</v>
      </c>
      <c r="J897" s="2">
        <v>46727</v>
      </c>
      <c r="K897" s="3">
        <v>0</v>
      </c>
      <c r="L897" t="s">
        <v>19</v>
      </c>
      <c r="M897" t="s">
        <v>29</v>
      </c>
      <c r="N897" s="1">
        <v>43251</v>
      </c>
      <c r="O897" s="1" t="str">
        <f>IF(OR(TBL_Employees[[#This Row],[Exit Date]],FALSE),"Left employees", "Current employees")</f>
        <v>Left employees</v>
      </c>
    </row>
    <row r="898" spans="1:15" x14ac:dyDescent="0.35">
      <c r="A898" t="s">
        <v>1816</v>
      </c>
      <c r="B898" t="s">
        <v>1817</v>
      </c>
      <c r="C898" t="s">
        <v>61</v>
      </c>
      <c r="D898" t="s">
        <v>23</v>
      </c>
      <c r="E898" t="s">
        <v>44</v>
      </c>
      <c r="F898" t="s">
        <v>28</v>
      </c>
      <c r="G898" t="s">
        <v>24</v>
      </c>
      <c r="H898">
        <v>27</v>
      </c>
      <c r="I898" s="1">
        <v>44302</v>
      </c>
      <c r="J898" s="2">
        <v>133400</v>
      </c>
      <c r="K898" s="3">
        <v>0.11</v>
      </c>
      <c r="L898" t="s">
        <v>19</v>
      </c>
      <c r="M898" t="s">
        <v>39</v>
      </c>
      <c r="N898" s="1" t="s">
        <v>21</v>
      </c>
      <c r="O898" s="1" t="str">
        <f>IF(OR(TBL_Employees[[#This Row],[Exit Date]],FALSE),"Left employees", "Current employees")</f>
        <v>Current employees</v>
      </c>
    </row>
    <row r="899" spans="1:15" x14ac:dyDescent="0.35">
      <c r="A899" t="s">
        <v>217</v>
      </c>
      <c r="B899" t="s">
        <v>1818</v>
      </c>
      <c r="C899" t="s">
        <v>88</v>
      </c>
      <c r="D899" t="s">
        <v>27</v>
      </c>
      <c r="E899" t="s">
        <v>44</v>
      </c>
      <c r="F899" t="s">
        <v>17</v>
      </c>
      <c r="G899" t="s">
        <v>24</v>
      </c>
      <c r="H899">
        <v>39</v>
      </c>
      <c r="I899" s="1">
        <v>43943</v>
      </c>
      <c r="J899" s="2">
        <v>90535</v>
      </c>
      <c r="K899" s="3">
        <v>0</v>
      </c>
      <c r="L899" t="s">
        <v>19</v>
      </c>
      <c r="M899" t="s">
        <v>45</v>
      </c>
      <c r="N899" s="1" t="s">
        <v>21</v>
      </c>
      <c r="O899" s="1" t="str">
        <f>IF(OR(TBL_Employees[[#This Row],[Exit Date]],FALSE),"Left employees", "Current employees")</f>
        <v>Current employees</v>
      </c>
    </row>
    <row r="900" spans="1:15" x14ac:dyDescent="0.35">
      <c r="A900" t="s">
        <v>1819</v>
      </c>
      <c r="B900" t="s">
        <v>1820</v>
      </c>
      <c r="C900" t="s">
        <v>42</v>
      </c>
      <c r="D900" t="s">
        <v>43</v>
      </c>
      <c r="E900" t="s">
        <v>44</v>
      </c>
      <c r="F900" t="s">
        <v>28</v>
      </c>
      <c r="G900" t="s">
        <v>24</v>
      </c>
      <c r="H900">
        <v>55</v>
      </c>
      <c r="I900" s="1">
        <v>38909</v>
      </c>
      <c r="J900" s="2">
        <v>93343</v>
      </c>
      <c r="K900" s="3">
        <v>0</v>
      </c>
      <c r="L900" t="s">
        <v>33</v>
      </c>
      <c r="M900" t="s">
        <v>80</v>
      </c>
      <c r="N900" s="1" t="s">
        <v>21</v>
      </c>
      <c r="O900" s="1" t="str">
        <f>IF(OR(TBL_Employees[[#This Row],[Exit Date]],FALSE),"Left employees", "Current employees")</f>
        <v>Current employees</v>
      </c>
    </row>
    <row r="901" spans="1:15" x14ac:dyDescent="0.35">
      <c r="A901" t="s">
        <v>1816</v>
      </c>
      <c r="B901" t="s">
        <v>1821</v>
      </c>
      <c r="C901" t="s">
        <v>22</v>
      </c>
      <c r="D901" t="s">
        <v>23</v>
      </c>
      <c r="E901" t="s">
        <v>32</v>
      </c>
      <c r="F901" t="s">
        <v>17</v>
      </c>
      <c r="G901" t="s">
        <v>24</v>
      </c>
      <c r="H901">
        <v>44</v>
      </c>
      <c r="I901" s="1">
        <v>38771</v>
      </c>
      <c r="J901" s="2">
        <v>63705</v>
      </c>
      <c r="K901" s="3">
        <v>0</v>
      </c>
      <c r="L901" t="s">
        <v>19</v>
      </c>
      <c r="M901" t="s">
        <v>45</v>
      </c>
      <c r="N901" s="1" t="s">
        <v>21</v>
      </c>
      <c r="O901" s="1" t="str">
        <f>IF(OR(TBL_Employees[[#This Row],[Exit Date]],FALSE),"Left employees", "Current employees")</f>
        <v>Current employees</v>
      </c>
    </row>
    <row r="902" spans="1:15" x14ac:dyDescent="0.35">
      <c r="A902" t="s">
        <v>168</v>
      </c>
      <c r="B902" t="s">
        <v>1822</v>
      </c>
      <c r="C902" t="s">
        <v>14</v>
      </c>
      <c r="D902" t="s">
        <v>50</v>
      </c>
      <c r="E902" t="s">
        <v>32</v>
      </c>
      <c r="F902" t="s">
        <v>28</v>
      </c>
      <c r="G902" t="s">
        <v>51</v>
      </c>
      <c r="H902">
        <v>48</v>
      </c>
      <c r="I902" s="1">
        <v>36584</v>
      </c>
      <c r="J902" s="2">
        <v>258081</v>
      </c>
      <c r="K902" s="3">
        <v>0.3</v>
      </c>
      <c r="L902" t="s">
        <v>19</v>
      </c>
      <c r="M902" t="s">
        <v>20</v>
      </c>
      <c r="N902" s="1" t="s">
        <v>21</v>
      </c>
      <c r="O902" s="1" t="str">
        <f>IF(OR(TBL_Employees[[#This Row],[Exit Date]],FALSE),"Left employees", "Current employees")</f>
        <v>Current employees</v>
      </c>
    </row>
    <row r="903" spans="1:15" x14ac:dyDescent="0.35">
      <c r="A903" t="s">
        <v>1823</v>
      </c>
      <c r="B903" t="s">
        <v>392</v>
      </c>
      <c r="C903" t="s">
        <v>83</v>
      </c>
      <c r="D903" t="s">
        <v>23</v>
      </c>
      <c r="E903" t="s">
        <v>16</v>
      </c>
      <c r="F903" t="s">
        <v>28</v>
      </c>
      <c r="G903" t="s">
        <v>47</v>
      </c>
      <c r="H903">
        <v>48</v>
      </c>
      <c r="I903" s="1">
        <v>44095</v>
      </c>
      <c r="J903" s="2">
        <v>54654</v>
      </c>
      <c r="K903" s="3">
        <v>0</v>
      </c>
      <c r="L903" t="s">
        <v>19</v>
      </c>
      <c r="M903" t="s">
        <v>39</v>
      </c>
      <c r="N903" s="1" t="s">
        <v>21</v>
      </c>
      <c r="O903" s="1" t="str">
        <f>IF(OR(TBL_Employees[[#This Row],[Exit Date]],FALSE),"Left employees", "Current employees")</f>
        <v>Current employees</v>
      </c>
    </row>
    <row r="904" spans="1:15" x14ac:dyDescent="0.35">
      <c r="A904" t="s">
        <v>1824</v>
      </c>
      <c r="B904" t="s">
        <v>1825</v>
      </c>
      <c r="C904" t="s">
        <v>68</v>
      </c>
      <c r="D904" t="s">
        <v>50</v>
      </c>
      <c r="E904" t="s">
        <v>36</v>
      </c>
      <c r="F904" t="s">
        <v>28</v>
      </c>
      <c r="G904" t="s">
        <v>18</v>
      </c>
      <c r="H904">
        <v>54</v>
      </c>
      <c r="I904" s="1">
        <v>36062</v>
      </c>
      <c r="J904" s="2">
        <v>58006</v>
      </c>
      <c r="K904" s="3">
        <v>0</v>
      </c>
      <c r="L904" t="s">
        <v>19</v>
      </c>
      <c r="M904" t="s">
        <v>63</v>
      </c>
      <c r="N904" s="1" t="s">
        <v>21</v>
      </c>
      <c r="O904" s="1" t="str">
        <f>IF(OR(TBL_Employees[[#This Row],[Exit Date]],FALSE),"Left employees", "Current employees")</f>
        <v>Current employees</v>
      </c>
    </row>
    <row r="905" spans="1:15" x14ac:dyDescent="0.35">
      <c r="A905" t="s">
        <v>205</v>
      </c>
      <c r="B905" t="s">
        <v>985</v>
      </c>
      <c r="C905" t="s">
        <v>61</v>
      </c>
      <c r="D905" t="s">
        <v>15</v>
      </c>
      <c r="E905" t="s">
        <v>36</v>
      </c>
      <c r="F905" t="s">
        <v>17</v>
      </c>
      <c r="G905" t="s">
        <v>24</v>
      </c>
      <c r="H905">
        <v>42</v>
      </c>
      <c r="I905" s="1">
        <v>40620</v>
      </c>
      <c r="J905" s="2">
        <v>150034</v>
      </c>
      <c r="K905" s="3">
        <v>0.12</v>
      </c>
      <c r="L905" t="s">
        <v>33</v>
      </c>
      <c r="M905" t="s">
        <v>60</v>
      </c>
      <c r="N905" s="1" t="s">
        <v>21</v>
      </c>
      <c r="O905" s="1" t="str">
        <f>IF(OR(TBL_Employees[[#This Row],[Exit Date]],FALSE),"Left employees", "Current employees")</f>
        <v>Current employees</v>
      </c>
    </row>
    <row r="906" spans="1:15" x14ac:dyDescent="0.35">
      <c r="A906" t="s">
        <v>1761</v>
      </c>
      <c r="B906" t="s">
        <v>1826</v>
      </c>
      <c r="C906" t="s">
        <v>40</v>
      </c>
      <c r="D906" t="s">
        <v>23</v>
      </c>
      <c r="E906" t="s">
        <v>44</v>
      </c>
      <c r="F906" t="s">
        <v>17</v>
      </c>
      <c r="G906" t="s">
        <v>24</v>
      </c>
      <c r="H906">
        <v>38</v>
      </c>
      <c r="I906" s="1">
        <v>39232</v>
      </c>
      <c r="J906" s="2">
        <v>198562</v>
      </c>
      <c r="K906" s="3">
        <v>0.22</v>
      </c>
      <c r="L906" t="s">
        <v>19</v>
      </c>
      <c r="M906" t="s">
        <v>63</v>
      </c>
      <c r="N906" s="1" t="s">
        <v>21</v>
      </c>
      <c r="O906" s="1" t="str">
        <f>IF(OR(TBL_Employees[[#This Row],[Exit Date]],FALSE),"Left employees", "Current employees")</f>
        <v>Current employees</v>
      </c>
    </row>
    <row r="907" spans="1:15" x14ac:dyDescent="0.35">
      <c r="A907" t="s">
        <v>171</v>
      </c>
      <c r="B907" t="s">
        <v>1827</v>
      </c>
      <c r="C907" t="s">
        <v>94</v>
      </c>
      <c r="D907" t="s">
        <v>50</v>
      </c>
      <c r="E907" t="s">
        <v>16</v>
      </c>
      <c r="F907" t="s">
        <v>17</v>
      </c>
      <c r="G907" t="s">
        <v>47</v>
      </c>
      <c r="H907">
        <v>40</v>
      </c>
      <c r="I907" s="1">
        <v>39960</v>
      </c>
      <c r="J907" s="2">
        <v>62411</v>
      </c>
      <c r="K907" s="3">
        <v>0</v>
      </c>
      <c r="L907" t="s">
        <v>19</v>
      </c>
      <c r="M907" t="s">
        <v>45</v>
      </c>
      <c r="N907" s="1">
        <v>44422</v>
      </c>
      <c r="O907" s="1" t="str">
        <f>IF(OR(TBL_Employees[[#This Row],[Exit Date]],FALSE),"Left employees", "Current employees")</f>
        <v>Left employees</v>
      </c>
    </row>
    <row r="908" spans="1:15" x14ac:dyDescent="0.35">
      <c r="A908" t="s">
        <v>214</v>
      </c>
      <c r="B908" t="s">
        <v>1828</v>
      </c>
      <c r="C908" t="s">
        <v>97</v>
      </c>
      <c r="D908" t="s">
        <v>31</v>
      </c>
      <c r="E908" t="s">
        <v>16</v>
      </c>
      <c r="F908" t="s">
        <v>28</v>
      </c>
      <c r="G908" t="s">
        <v>24</v>
      </c>
      <c r="H908">
        <v>57</v>
      </c>
      <c r="I908" s="1">
        <v>33612</v>
      </c>
      <c r="J908" s="2">
        <v>111299</v>
      </c>
      <c r="K908" s="3">
        <v>0.12</v>
      </c>
      <c r="L908" t="s">
        <v>19</v>
      </c>
      <c r="M908" t="s">
        <v>45</v>
      </c>
      <c r="N908" s="1" t="s">
        <v>21</v>
      </c>
      <c r="O908" s="1" t="str">
        <f>IF(OR(TBL_Employees[[#This Row],[Exit Date]],FALSE),"Left employees", "Current employees")</f>
        <v>Current employees</v>
      </c>
    </row>
    <row r="909" spans="1:15" x14ac:dyDescent="0.35">
      <c r="A909" t="s">
        <v>1634</v>
      </c>
      <c r="B909" t="s">
        <v>409</v>
      </c>
      <c r="C909" t="s">
        <v>68</v>
      </c>
      <c r="D909" t="s">
        <v>43</v>
      </c>
      <c r="E909" t="s">
        <v>16</v>
      </c>
      <c r="F909" t="s">
        <v>17</v>
      </c>
      <c r="G909" t="s">
        <v>18</v>
      </c>
      <c r="H909">
        <v>43</v>
      </c>
      <c r="I909" s="1">
        <v>43659</v>
      </c>
      <c r="J909" s="2">
        <v>41545</v>
      </c>
      <c r="K909" s="3">
        <v>0</v>
      </c>
      <c r="L909" t="s">
        <v>19</v>
      </c>
      <c r="M909" t="s">
        <v>45</v>
      </c>
      <c r="N909" s="1" t="s">
        <v>21</v>
      </c>
      <c r="O909" s="1" t="str">
        <f>IF(OR(TBL_Employees[[#This Row],[Exit Date]],FALSE),"Left employees", "Current employees")</f>
        <v>Current employees</v>
      </c>
    </row>
    <row r="910" spans="1:15" x14ac:dyDescent="0.35">
      <c r="A910" t="s">
        <v>106</v>
      </c>
      <c r="B910" t="s">
        <v>1829</v>
      </c>
      <c r="C910" t="s">
        <v>35</v>
      </c>
      <c r="D910" t="s">
        <v>27</v>
      </c>
      <c r="E910" t="s">
        <v>36</v>
      </c>
      <c r="F910" t="s">
        <v>28</v>
      </c>
      <c r="G910" t="s">
        <v>51</v>
      </c>
      <c r="H910">
        <v>26</v>
      </c>
      <c r="I910" s="1">
        <v>43569</v>
      </c>
      <c r="J910" s="2">
        <v>74467</v>
      </c>
      <c r="K910" s="3">
        <v>0</v>
      </c>
      <c r="L910" t="s">
        <v>19</v>
      </c>
      <c r="M910" t="s">
        <v>29</v>
      </c>
      <c r="N910" s="1">
        <v>44211</v>
      </c>
      <c r="O910" s="1" t="str">
        <f>IF(OR(TBL_Employees[[#This Row],[Exit Date]],FALSE),"Left employees", "Current employees")</f>
        <v>Left employees</v>
      </c>
    </row>
    <row r="911" spans="1:15" x14ac:dyDescent="0.35">
      <c r="A911" t="s">
        <v>134</v>
      </c>
      <c r="B911" t="s">
        <v>1830</v>
      </c>
      <c r="C911" t="s">
        <v>62</v>
      </c>
      <c r="D911" t="s">
        <v>65</v>
      </c>
      <c r="E911" t="s">
        <v>16</v>
      </c>
      <c r="F911" t="s">
        <v>28</v>
      </c>
      <c r="G911" t="s">
        <v>18</v>
      </c>
      <c r="H911">
        <v>44</v>
      </c>
      <c r="I911" s="1">
        <v>37296</v>
      </c>
      <c r="J911" s="2">
        <v>117545</v>
      </c>
      <c r="K911" s="3">
        <v>0.06</v>
      </c>
      <c r="L911" t="s">
        <v>19</v>
      </c>
      <c r="M911" t="s">
        <v>39</v>
      </c>
      <c r="N911" s="1" t="s">
        <v>21</v>
      </c>
      <c r="O911" s="1" t="str">
        <f>IF(OR(TBL_Employees[[#This Row],[Exit Date]],FALSE),"Left employees", "Current employees")</f>
        <v>Current employees</v>
      </c>
    </row>
    <row r="912" spans="1:15" x14ac:dyDescent="0.35">
      <c r="A912" t="s">
        <v>1831</v>
      </c>
      <c r="B912" t="s">
        <v>1832</v>
      </c>
      <c r="C912" t="s">
        <v>62</v>
      </c>
      <c r="D912" t="s">
        <v>23</v>
      </c>
      <c r="E912" t="s">
        <v>44</v>
      </c>
      <c r="F912" t="s">
        <v>28</v>
      </c>
      <c r="G912" t="s">
        <v>24</v>
      </c>
      <c r="H912">
        <v>50</v>
      </c>
      <c r="I912" s="1">
        <v>40983</v>
      </c>
      <c r="J912" s="2">
        <v>117226</v>
      </c>
      <c r="K912" s="3">
        <v>0.08</v>
      </c>
      <c r="L912" t="s">
        <v>19</v>
      </c>
      <c r="M912" t="s">
        <v>39</v>
      </c>
      <c r="N912" s="1" t="s">
        <v>21</v>
      </c>
      <c r="O912" s="1" t="str">
        <f>IF(OR(TBL_Employees[[#This Row],[Exit Date]],FALSE),"Left employees", "Current employees")</f>
        <v>Current employees</v>
      </c>
    </row>
    <row r="913" spans="1:15" x14ac:dyDescent="0.35">
      <c r="A913" t="s">
        <v>1833</v>
      </c>
      <c r="B913" t="s">
        <v>1834</v>
      </c>
      <c r="C913" t="s">
        <v>68</v>
      </c>
      <c r="D913" t="s">
        <v>65</v>
      </c>
      <c r="E913" t="s">
        <v>32</v>
      </c>
      <c r="F913" t="s">
        <v>17</v>
      </c>
      <c r="G913" t="s">
        <v>51</v>
      </c>
      <c r="H913">
        <v>26</v>
      </c>
      <c r="I913" s="1">
        <v>43489</v>
      </c>
      <c r="J913" s="2">
        <v>55767</v>
      </c>
      <c r="K913" s="3">
        <v>0</v>
      </c>
      <c r="L913" t="s">
        <v>19</v>
      </c>
      <c r="M913" t="s">
        <v>39</v>
      </c>
      <c r="N913" s="1" t="s">
        <v>21</v>
      </c>
      <c r="O913" s="1" t="str">
        <f>IF(OR(TBL_Employees[[#This Row],[Exit Date]],FALSE),"Left employees", "Current employees")</f>
        <v>Current employees</v>
      </c>
    </row>
    <row r="914" spans="1:15" x14ac:dyDescent="0.35">
      <c r="A914" t="s">
        <v>1835</v>
      </c>
      <c r="B914" t="s">
        <v>1836</v>
      </c>
      <c r="C914" t="s">
        <v>64</v>
      </c>
      <c r="D914" t="s">
        <v>50</v>
      </c>
      <c r="E914" t="s">
        <v>36</v>
      </c>
      <c r="F914" t="s">
        <v>17</v>
      </c>
      <c r="G914" t="s">
        <v>18</v>
      </c>
      <c r="H914">
        <v>29</v>
      </c>
      <c r="I914" s="1">
        <v>42691</v>
      </c>
      <c r="J914" s="2">
        <v>60930</v>
      </c>
      <c r="K914" s="3">
        <v>0</v>
      </c>
      <c r="L914" t="s">
        <v>19</v>
      </c>
      <c r="M914" t="s">
        <v>25</v>
      </c>
      <c r="N914" s="1" t="s">
        <v>21</v>
      </c>
      <c r="O914" s="1" t="str">
        <f>IF(OR(TBL_Employees[[#This Row],[Exit Date]],FALSE),"Left employees", "Current employees")</f>
        <v>Current employees</v>
      </c>
    </row>
    <row r="915" spans="1:15" x14ac:dyDescent="0.35">
      <c r="A915" t="s">
        <v>1837</v>
      </c>
      <c r="B915" t="s">
        <v>1838</v>
      </c>
      <c r="C915" t="s">
        <v>40</v>
      </c>
      <c r="D915" t="s">
        <v>50</v>
      </c>
      <c r="E915" t="s">
        <v>44</v>
      </c>
      <c r="F915" t="s">
        <v>17</v>
      </c>
      <c r="G915" t="s">
        <v>51</v>
      </c>
      <c r="H915">
        <v>27</v>
      </c>
      <c r="I915" s="1">
        <v>43397</v>
      </c>
      <c r="J915" s="2">
        <v>154973</v>
      </c>
      <c r="K915" s="3">
        <v>0.28999999999999998</v>
      </c>
      <c r="L915" t="s">
        <v>52</v>
      </c>
      <c r="M915" t="s">
        <v>53</v>
      </c>
      <c r="N915" s="1" t="s">
        <v>21</v>
      </c>
      <c r="O915" s="1" t="str">
        <f>IF(OR(TBL_Employees[[#This Row],[Exit Date]],FALSE),"Left employees", "Current employees")</f>
        <v>Current employees</v>
      </c>
    </row>
    <row r="916" spans="1:15" x14ac:dyDescent="0.35">
      <c r="A916" t="s">
        <v>1839</v>
      </c>
      <c r="B916" t="s">
        <v>1840</v>
      </c>
      <c r="C916" t="s">
        <v>38</v>
      </c>
      <c r="D916" t="s">
        <v>27</v>
      </c>
      <c r="E916" t="s">
        <v>36</v>
      </c>
      <c r="F916" t="s">
        <v>17</v>
      </c>
      <c r="G916" t="s">
        <v>24</v>
      </c>
      <c r="H916">
        <v>33</v>
      </c>
      <c r="I916" s="1">
        <v>43029</v>
      </c>
      <c r="J916" s="2">
        <v>69332</v>
      </c>
      <c r="K916" s="3">
        <v>0</v>
      </c>
      <c r="L916" t="s">
        <v>19</v>
      </c>
      <c r="M916" t="s">
        <v>29</v>
      </c>
      <c r="N916" s="1" t="s">
        <v>21</v>
      </c>
      <c r="O916" s="1" t="str">
        <f>IF(OR(TBL_Employees[[#This Row],[Exit Date]],FALSE),"Left employees", "Current employees")</f>
        <v>Current employees</v>
      </c>
    </row>
    <row r="917" spans="1:15" x14ac:dyDescent="0.35">
      <c r="A917" t="s">
        <v>1841</v>
      </c>
      <c r="B917" t="s">
        <v>1842</v>
      </c>
      <c r="C917" t="s">
        <v>84</v>
      </c>
      <c r="D917" t="s">
        <v>31</v>
      </c>
      <c r="E917" t="s">
        <v>16</v>
      </c>
      <c r="F917" t="s">
        <v>17</v>
      </c>
      <c r="G917" t="s">
        <v>24</v>
      </c>
      <c r="H917">
        <v>59</v>
      </c>
      <c r="I917" s="1">
        <v>36990</v>
      </c>
      <c r="J917" s="2">
        <v>119699</v>
      </c>
      <c r="K917" s="3">
        <v>0</v>
      </c>
      <c r="L917" t="s">
        <v>33</v>
      </c>
      <c r="M917" t="s">
        <v>74</v>
      </c>
      <c r="N917" s="1" t="s">
        <v>21</v>
      </c>
      <c r="O917" s="1" t="str">
        <f>IF(OR(TBL_Employees[[#This Row],[Exit Date]],FALSE),"Left employees", "Current employees")</f>
        <v>Current employees</v>
      </c>
    </row>
    <row r="918" spans="1:15" x14ac:dyDescent="0.35">
      <c r="A918" t="s">
        <v>1843</v>
      </c>
      <c r="B918" t="s">
        <v>1844</v>
      </c>
      <c r="C918" t="s">
        <v>40</v>
      </c>
      <c r="D918" t="s">
        <v>23</v>
      </c>
      <c r="E918" t="s">
        <v>44</v>
      </c>
      <c r="F918" t="s">
        <v>17</v>
      </c>
      <c r="G918" t="s">
        <v>51</v>
      </c>
      <c r="H918">
        <v>40</v>
      </c>
      <c r="I918" s="1">
        <v>44094</v>
      </c>
      <c r="J918" s="2">
        <v>198176</v>
      </c>
      <c r="K918" s="3">
        <v>0.17</v>
      </c>
      <c r="L918" t="s">
        <v>52</v>
      </c>
      <c r="M918" t="s">
        <v>81</v>
      </c>
      <c r="N918" s="1" t="s">
        <v>21</v>
      </c>
      <c r="O918" s="1" t="str">
        <f>IF(OR(TBL_Employees[[#This Row],[Exit Date]],FALSE),"Left employees", "Current employees")</f>
        <v>Current employees</v>
      </c>
    </row>
    <row r="919" spans="1:15" x14ac:dyDescent="0.35">
      <c r="A919" t="s">
        <v>1845</v>
      </c>
      <c r="B919" t="s">
        <v>1846</v>
      </c>
      <c r="C919" t="s">
        <v>64</v>
      </c>
      <c r="D919" t="s">
        <v>15</v>
      </c>
      <c r="E919" t="s">
        <v>16</v>
      </c>
      <c r="F919" t="s">
        <v>17</v>
      </c>
      <c r="G919" t="s">
        <v>51</v>
      </c>
      <c r="H919">
        <v>45</v>
      </c>
      <c r="I919" s="1">
        <v>41127</v>
      </c>
      <c r="J919" s="2">
        <v>58586</v>
      </c>
      <c r="K919" s="3">
        <v>0</v>
      </c>
      <c r="L919" t="s">
        <v>52</v>
      </c>
      <c r="M919" t="s">
        <v>53</v>
      </c>
      <c r="N919" s="1" t="s">
        <v>21</v>
      </c>
      <c r="O919" s="1" t="str">
        <f>IF(OR(TBL_Employees[[#This Row],[Exit Date]],FALSE),"Left employees", "Current employees")</f>
        <v>Current employees</v>
      </c>
    </row>
    <row r="920" spans="1:15" x14ac:dyDescent="0.35">
      <c r="A920" t="s">
        <v>1847</v>
      </c>
      <c r="B920" t="s">
        <v>1848</v>
      </c>
      <c r="C920" t="s">
        <v>49</v>
      </c>
      <c r="D920" t="s">
        <v>50</v>
      </c>
      <c r="E920" t="s">
        <v>32</v>
      </c>
      <c r="F920" t="s">
        <v>28</v>
      </c>
      <c r="G920" t="s">
        <v>24</v>
      </c>
      <c r="H920">
        <v>38</v>
      </c>
      <c r="I920" s="1">
        <v>40875</v>
      </c>
      <c r="J920" s="2">
        <v>74010</v>
      </c>
      <c r="K920" s="3">
        <v>0</v>
      </c>
      <c r="L920" t="s">
        <v>19</v>
      </c>
      <c r="M920" t="s">
        <v>20</v>
      </c>
      <c r="N920" s="1" t="s">
        <v>21</v>
      </c>
      <c r="O920" s="1" t="str">
        <f>IF(OR(TBL_Employees[[#This Row],[Exit Date]],FALSE),"Left employees", "Current employees")</f>
        <v>Current employees</v>
      </c>
    </row>
    <row r="921" spans="1:15" x14ac:dyDescent="0.35">
      <c r="A921" t="s">
        <v>1849</v>
      </c>
      <c r="B921" t="s">
        <v>1850</v>
      </c>
      <c r="C921" t="s">
        <v>49</v>
      </c>
      <c r="D921" t="s">
        <v>50</v>
      </c>
      <c r="E921" t="s">
        <v>44</v>
      </c>
      <c r="F921" t="s">
        <v>28</v>
      </c>
      <c r="G921" t="s">
        <v>18</v>
      </c>
      <c r="H921">
        <v>32</v>
      </c>
      <c r="I921" s="1">
        <v>43864</v>
      </c>
      <c r="J921" s="2">
        <v>96598</v>
      </c>
      <c r="K921" s="3">
        <v>0</v>
      </c>
      <c r="L921" t="s">
        <v>19</v>
      </c>
      <c r="M921" t="s">
        <v>39</v>
      </c>
      <c r="N921" s="1" t="s">
        <v>21</v>
      </c>
      <c r="O921" s="1" t="str">
        <f>IF(OR(TBL_Employees[[#This Row],[Exit Date]],FALSE),"Left employees", "Current employees")</f>
        <v>Current employees</v>
      </c>
    </row>
    <row r="922" spans="1:15" x14ac:dyDescent="0.35">
      <c r="A922" t="s">
        <v>1532</v>
      </c>
      <c r="B922" t="s">
        <v>1851</v>
      </c>
      <c r="C922" t="s">
        <v>62</v>
      </c>
      <c r="D922" t="s">
        <v>50</v>
      </c>
      <c r="E922" t="s">
        <v>44</v>
      </c>
      <c r="F922" t="s">
        <v>17</v>
      </c>
      <c r="G922" t="s">
        <v>24</v>
      </c>
      <c r="H922">
        <v>64</v>
      </c>
      <c r="I922" s="1">
        <v>37762</v>
      </c>
      <c r="J922" s="2">
        <v>106444</v>
      </c>
      <c r="K922" s="3">
        <v>0.05</v>
      </c>
      <c r="L922" t="s">
        <v>19</v>
      </c>
      <c r="M922" t="s">
        <v>39</v>
      </c>
      <c r="N922" s="1" t="s">
        <v>21</v>
      </c>
      <c r="O922" s="1" t="str">
        <f>IF(OR(TBL_Employees[[#This Row],[Exit Date]],FALSE),"Left employees", "Current employees")</f>
        <v>Current employees</v>
      </c>
    </row>
    <row r="923" spans="1:15" x14ac:dyDescent="0.35">
      <c r="A923" t="s">
        <v>1852</v>
      </c>
      <c r="B923" t="s">
        <v>1853</v>
      </c>
      <c r="C923" t="s">
        <v>40</v>
      </c>
      <c r="D923" t="s">
        <v>15</v>
      </c>
      <c r="E923" t="s">
        <v>32</v>
      </c>
      <c r="F923" t="s">
        <v>28</v>
      </c>
      <c r="G923" t="s">
        <v>51</v>
      </c>
      <c r="H923">
        <v>31</v>
      </c>
      <c r="I923" s="1">
        <v>42957</v>
      </c>
      <c r="J923" s="2">
        <v>156931</v>
      </c>
      <c r="K923" s="3">
        <v>0.28000000000000003</v>
      </c>
      <c r="L923" t="s">
        <v>19</v>
      </c>
      <c r="M923" t="s">
        <v>63</v>
      </c>
      <c r="N923" s="1" t="s">
        <v>21</v>
      </c>
      <c r="O923" s="1" t="str">
        <f>IF(OR(TBL_Employees[[#This Row],[Exit Date]],FALSE),"Left employees", "Current employees")</f>
        <v>Current employees</v>
      </c>
    </row>
    <row r="924" spans="1:15" x14ac:dyDescent="0.35">
      <c r="A924" t="s">
        <v>1854</v>
      </c>
      <c r="B924" t="s">
        <v>1855</v>
      </c>
      <c r="C924" t="s">
        <v>40</v>
      </c>
      <c r="D924" t="s">
        <v>43</v>
      </c>
      <c r="E924" t="s">
        <v>16</v>
      </c>
      <c r="F924" t="s">
        <v>17</v>
      </c>
      <c r="G924" t="s">
        <v>51</v>
      </c>
      <c r="H924">
        <v>43</v>
      </c>
      <c r="I924" s="1">
        <v>41928</v>
      </c>
      <c r="J924" s="2">
        <v>171360</v>
      </c>
      <c r="K924" s="3">
        <v>0.23</v>
      </c>
      <c r="L924" t="s">
        <v>52</v>
      </c>
      <c r="M924" t="s">
        <v>81</v>
      </c>
      <c r="N924" s="1" t="s">
        <v>21</v>
      </c>
      <c r="O924" s="1" t="str">
        <f>IF(OR(TBL_Employees[[#This Row],[Exit Date]],FALSE),"Left employees", "Current employees")</f>
        <v>Current employees</v>
      </c>
    </row>
    <row r="925" spans="1:15" x14ac:dyDescent="0.35">
      <c r="A925" t="s">
        <v>1856</v>
      </c>
      <c r="B925" t="s">
        <v>1857</v>
      </c>
      <c r="C925" t="s">
        <v>26</v>
      </c>
      <c r="D925" t="s">
        <v>27</v>
      </c>
      <c r="E925" t="s">
        <v>16</v>
      </c>
      <c r="F925" t="s">
        <v>17</v>
      </c>
      <c r="G925" t="s">
        <v>18</v>
      </c>
      <c r="H925">
        <v>45</v>
      </c>
      <c r="I925" s="1">
        <v>39908</v>
      </c>
      <c r="J925" s="2">
        <v>64505</v>
      </c>
      <c r="K925" s="3">
        <v>0</v>
      </c>
      <c r="L925" t="s">
        <v>19</v>
      </c>
      <c r="M925" t="s">
        <v>45</v>
      </c>
      <c r="N925" s="1" t="s">
        <v>21</v>
      </c>
      <c r="O925" s="1" t="str">
        <f>IF(OR(TBL_Employees[[#This Row],[Exit Date]],FALSE),"Left employees", "Current employees")</f>
        <v>Current employees</v>
      </c>
    </row>
    <row r="926" spans="1:15" x14ac:dyDescent="0.35">
      <c r="A926" t="s">
        <v>206</v>
      </c>
      <c r="B926" t="s">
        <v>1858</v>
      </c>
      <c r="C926" t="s">
        <v>97</v>
      </c>
      <c r="D926" t="s">
        <v>31</v>
      </c>
      <c r="E926" t="s">
        <v>44</v>
      </c>
      <c r="F926" t="s">
        <v>28</v>
      </c>
      <c r="G926" t="s">
        <v>51</v>
      </c>
      <c r="H926">
        <v>32</v>
      </c>
      <c r="I926" s="1">
        <v>44478</v>
      </c>
      <c r="J926" s="2">
        <v>102298</v>
      </c>
      <c r="K926" s="3">
        <v>0.13</v>
      </c>
      <c r="L926" t="s">
        <v>52</v>
      </c>
      <c r="M926" t="s">
        <v>66</v>
      </c>
      <c r="N926" s="1" t="s">
        <v>21</v>
      </c>
      <c r="O926" s="1" t="str">
        <f>IF(OR(TBL_Employees[[#This Row],[Exit Date]],FALSE),"Left employees", "Current employees")</f>
        <v>Current employees</v>
      </c>
    </row>
    <row r="927" spans="1:15" x14ac:dyDescent="0.35">
      <c r="A927" t="s">
        <v>1859</v>
      </c>
      <c r="B927" t="s">
        <v>1860</v>
      </c>
      <c r="C927" t="s">
        <v>61</v>
      </c>
      <c r="D927" t="s">
        <v>50</v>
      </c>
      <c r="E927" t="s">
        <v>32</v>
      </c>
      <c r="F927" t="s">
        <v>17</v>
      </c>
      <c r="G927" t="s">
        <v>51</v>
      </c>
      <c r="H927">
        <v>27</v>
      </c>
      <c r="I927" s="1">
        <v>43721</v>
      </c>
      <c r="J927" s="2">
        <v>133297</v>
      </c>
      <c r="K927" s="3">
        <v>0.13</v>
      </c>
      <c r="L927" t="s">
        <v>52</v>
      </c>
      <c r="M927" t="s">
        <v>66</v>
      </c>
      <c r="N927" s="1" t="s">
        <v>21</v>
      </c>
      <c r="O927" s="1" t="str">
        <f>IF(OR(TBL_Employees[[#This Row],[Exit Date]],FALSE),"Left employees", "Current employees")</f>
        <v>Current employees</v>
      </c>
    </row>
    <row r="928" spans="1:15" x14ac:dyDescent="0.35">
      <c r="A928" t="s">
        <v>194</v>
      </c>
      <c r="B928" t="s">
        <v>1861</v>
      </c>
      <c r="C928" t="s">
        <v>61</v>
      </c>
      <c r="D928" t="s">
        <v>23</v>
      </c>
      <c r="E928" t="s">
        <v>44</v>
      </c>
      <c r="F928" t="s">
        <v>17</v>
      </c>
      <c r="G928" t="s">
        <v>47</v>
      </c>
      <c r="H928">
        <v>25</v>
      </c>
      <c r="I928" s="1">
        <v>44272</v>
      </c>
      <c r="J928" s="2">
        <v>155080</v>
      </c>
      <c r="K928" s="3">
        <v>0.1</v>
      </c>
      <c r="L928" t="s">
        <v>19</v>
      </c>
      <c r="M928" t="s">
        <v>25</v>
      </c>
      <c r="N928" s="1" t="s">
        <v>21</v>
      </c>
      <c r="O928" s="1" t="str">
        <f>IF(OR(TBL_Employees[[#This Row],[Exit Date]],FALSE),"Left employees", "Current employees")</f>
        <v>Current employees</v>
      </c>
    </row>
    <row r="929" spans="1:15" x14ac:dyDescent="0.35">
      <c r="A929" t="s">
        <v>1862</v>
      </c>
      <c r="B929" t="s">
        <v>1863</v>
      </c>
      <c r="C929" t="s">
        <v>42</v>
      </c>
      <c r="D929" t="s">
        <v>50</v>
      </c>
      <c r="E929" t="s">
        <v>44</v>
      </c>
      <c r="F929" t="s">
        <v>28</v>
      </c>
      <c r="G929" t="s">
        <v>18</v>
      </c>
      <c r="H929">
        <v>31</v>
      </c>
      <c r="I929" s="1">
        <v>43325</v>
      </c>
      <c r="J929" s="2">
        <v>81828</v>
      </c>
      <c r="K929" s="3">
        <v>0</v>
      </c>
      <c r="L929" t="s">
        <v>19</v>
      </c>
      <c r="M929" t="s">
        <v>45</v>
      </c>
      <c r="N929" s="1" t="s">
        <v>21</v>
      </c>
      <c r="O929" s="1" t="str">
        <f>IF(OR(TBL_Employees[[#This Row],[Exit Date]],FALSE),"Left employees", "Current employees")</f>
        <v>Current employees</v>
      </c>
    </row>
    <row r="930" spans="1:15" x14ac:dyDescent="0.35">
      <c r="A930" t="s">
        <v>1864</v>
      </c>
      <c r="B930" t="s">
        <v>1865</v>
      </c>
      <c r="C930" t="s">
        <v>61</v>
      </c>
      <c r="D930" t="s">
        <v>43</v>
      </c>
      <c r="E930" t="s">
        <v>32</v>
      </c>
      <c r="F930" t="s">
        <v>17</v>
      </c>
      <c r="G930" t="s">
        <v>24</v>
      </c>
      <c r="H930">
        <v>65</v>
      </c>
      <c r="I930" s="1">
        <v>36823</v>
      </c>
      <c r="J930" s="2">
        <v>149417</v>
      </c>
      <c r="K930" s="3">
        <v>0.13</v>
      </c>
      <c r="L930" t="s">
        <v>33</v>
      </c>
      <c r="M930" t="s">
        <v>34</v>
      </c>
      <c r="N930" s="1" t="s">
        <v>21</v>
      </c>
      <c r="O930" s="1" t="str">
        <f>IF(OR(TBL_Employees[[#This Row],[Exit Date]],FALSE),"Left employees", "Current employees")</f>
        <v>Current employees</v>
      </c>
    </row>
    <row r="931" spans="1:15" x14ac:dyDescent="0.35">
      <c r="A931" t="s">
        <v>1866</v>
      </c>
      <c r="B931" t="s">
        <v>1867</v>
      </c>
      <c r="C931" t="s">
        <v>62</v>
      </c>
      <c r="D931" t="s">
        <v>50</v>
      </c>
      <c r="E931" t="s">
        <v>32</v>
      </c>
      <c r="F931" t="s">
        <v>28</v>
      </c>
      <c r="G931" t="s">
        <v>51</v>
      </c>
      <c r="H931">
        <v>50</v>
      </c>
      <c r="I931" s="1">
        <v>41024</v>
      </c>
      <c r="J931" s="2">
        <v>113269</v>
      </c>
      <c r="K931" s="3">
        <v>0.09</v>
      </c>
      <c r="L931" t="s">
        <v>52</v>
      </c>
      <c r="M931" t="s">
        <v>53</v>
      </c>
      <c r="N931" s="1" t="s">
        <v>21</v>
      </c>
      <c r="O931" s="1" t="str">
        <f>IF(OR(TBL_Employees[[#This Row],[Exit Date]],FALSE),"Left employees", "Current employees")</f>
        <v>Current employees</v>
      </c>
    </row>
    <row r="932" spans="1:15" x14ac:dyDescent="0.35">
      <c r="A932" t="s">
        <v>384</v>
      </c>
      <c r="B932" t="s">
        <v>1868</v>
      </c>
      <c r="C932" t="s">
        <v>61</v>
      </c>
      <c r="D932" t="s">
        <v>27</v>
      </c>
      <c r="E932" t="s">
        <v>36</v>
      </c>
      <c r="F932" t="s">
        <v>28</v>
      </c>
      <c r="G932" t="s">
        <v>24</v>
      </c>
      <c r="H932">
        <v>46</v>
      </c>
      <c r="I932" s="1">
        <v>43085</v>
      </c>
      <c r="J932" s="2">
        <v>136716</v>
      </c>
      <c r="K932" s="3">
        <v>0.12</v>
      </c>
      <c r="L932" t="s">
        <v>19</v>
      </c>
      <c r="M932" t="s">
        <v>25</v>
      </c>
      <c r="N932" s="1" t="s">
        <v>21</v>
      </c>
      <c r="O932" s="1" t="str">
        <f>IF(OR(TBL_Employees[[#This Row],[Exit Date]],FALSE),"Left employees", "Current employees")</f>
        <v>Current employees</v>
      </c>
    </row>
    <row r="933" spans="1:15" x14ac:dyDescent="0.35">
      <c r="A933" t="s">
        <v>1869</v>
      </c>
      <c r="B933" t="s">
        <v>1870</v>
      </c>
      <c r="C933" t="s">
        <v>61</v>
      </c>
      <c r="D933" t="s">
        <v>50</v>
      </c>
      <c r="E933" t="s">
        <v>44</v>
      </c>
      <c r="F933" t="s">
        <v>28</v>
      </c>
      <c r="G933" t="s">
        <v>51</v>
      </c>
      <c r="H933">
        <v>54</v>
      </c>
      <c r="I933" s="1">
        <v>40836</v>
      </c>
      <c r="J933" s="2">
        <v>122644</v>
      </c>
      <c r="K933" s="3">
        <v>0.12</v>
      </c>
      <c r="L933" t="s">
        <v>19</v>
      </c>
      <c r="M933" t="s">
        <v>25</v>
      </c>
      <c r="N933" s="1" t="s">
        <v>21</v>
      </c>
      <c r="O933" s="1" t="str">
        <f>IF(OR(TBL_Employees[[#This Row],[Exit Date]],FALSE),"Left employees", "Current employees")</f>
        <v>Current employees</v>
      </c>
    </row>
    <row r="934" spans="1:15" x14ac:dyDescent="0.35">
      <c r="A934" t="s">
        <v>1871</v>
      </c>
      <c r="B934" t="s">
        <v>1872</v>
      </c>
      <c r="C934" t="s">
        <v>62</v>
      </c>
      <c r="D934" t="s">
        <v>50</v>
      </c>
      <c r="E934" t="s">
        <v>16</v>
      </c>
      <c r="F934" t="s">
        <v>17</v>
      </c>
      <c r="G934" t="s">
        <v>24</v>
      </c>
      <c r="H934">
        <v>50</v>
      </c>
      <c r="I934" s="1">
        <v>36653</v>
      </c>
      <c r="J934" s="2">
        <v>106428</v>
      </c>
      <c r="K934" s="3">
        <v>7.0000000000000007E-2</v>
      </c>
      <c r="L934" t="s">
        <v>19</v>
      </c>
      <c r="M934" t="s">
        <v>20</v>
      </c>
      <c r="N934" s="1" t="s">
        <v>21</v>
      </c>
      <c r="O934" s="1" t="str">
        <f>IF(OR(TBL_Employees[[#This Row],[Exit Date]],FALSE),"Left employees", "Current employees")</f>
        <v>Current employees</v>
      </c>
    </row>
    <row r="935" spans="1:15" x14ac:dyDescent="0.35">
      <c r="A935" t="s">
        <v>1873</v>
      </c>
      <c r="B935" t="s">
        <v>1874</v>
      </c>
      <c r="C935" t="s">
        <v>14</v>
      </c>
      <c r="D935" t="s">
        <v>15</v>
      </c>
      <c r="E935" t="s">
        <v>32</v>
      </c>
      <c r="F935" t="s">
        <v>28</v>
      </c>
      <c r="G935" t="s">
        <v>18</v>
      </c>
      <c r="H935">
        <v>36</v>
      </c>
      <c r="I935" s="1">
        <v>39830</v>
      </c>
      <c r="J935" s="2">
        <v>238236</v>
      </c>
      <c r="K935" s="3">
        <v>0.31</v>
      </c>
      <c r="L935" t="s">
        <v>19</v>
      </c>
      <c r="M935" t="s">
        <v>63</v>
      </c>
      <c r="N935" s="1" t="s">
        <v>21</v>
      </c>
      <c r="O935" s="1" t="str">
        <f>IF(OR(TBL_Employees[[#This Row],[Exit Date]],FALSE),"Left employees", "Current employees")</f>
        <v>Current employees</v>
      </c>
    </row>
    <row r="936" spans="1:15" x14ac:dyDescent="0.35">
      <c r="A936" t="s">
        <v>1875</v>
      </c>
      <c r="B936" t="s">
        <v>1876</v>
      </c>
      <c r="C936" t="s">
        <v>40</v>
      </c>
      <c r="D936" t="s">
        <v>15</v>
      </c>
      <c r="E936" t="s">
        <v>32</v>
      </c>
      <c r="F936" t="s">
        <v>17</v>
      </c>
      <c r="G936" t="s">
        <v>18</v>
      </c>
      <c r="H936">
        <v>64</v>
      </c>
      <c r="I936" s="1">
        <v>41264</v>
      </c>
      <c r="J936" s="2">
        <v>153253</v>
      </c>
      <c r="K936" s="3">
        <v>0.24</v>
      </c>
      <c r="L936" t="s">
        <v>19</v>
      </c>
      <c r="M936" t="s">
        <v>25</v>
      </c>
      <c r="N936" s="1" t="s">
        <v>21</v>
      </c>
      <c r="O936" s="1" t="str">
        <f>IF(OR(TBL_Employees[[#This Row],[Exit Date]],FALSE),"Left employees", "Current employees")</f>
        <v>Current employees</v>
      </c>
    </row>
    <row r="937" spans="1:15" x14ac:dyDescent="0.35">
      <c r="A937" t="s">
        <v>1877</v>
      </c>
      <c r="B937" t="s">
        <v>1878</v>
      </c>
      <c r="C937" t="s">
        <v>62</v>
      </c>
      <c r="D937" t="s">
        <v>65</v>
      </c>
      <c r="E937" t="s">
        <v>36</v>
      </c>
      <c r="F937" t="s">
        <v>17</v>
      </c>
      <c r="G937" t="s">
        <v>18</v>
      </c>
      <c r="H937">
        <v>34</v>
      </c>
      <c r="I937" s="1">
        <v>41915</v>
      </c>
      <c r="J937" s="2">
        <v>103707</v>
      </c>
      <c r="K937" s="3">
        <v>0.09</v>
      </c>
      <c r="L937" t="s">
        <v>19</v>
      </c>
      <c r="M937" t="s">
        <v>29</v>
      </c>
      <c r="N937" s="1" t="s">
        <v>21</v>
      </c>
      <c r="O937" s="1" t="str">
        <f>IF(OR(TBL_Employees[[#This Row],[Exit Date]],FALSE),"Left employees", "Current employees")</f>
        <v>Current employees</v>
      </c>
    </row>
    <row r="938" spans="1:15" x14ac:dyDescent="0.35">
      <c r="A938" t="s">
        <v>1879</v>
      </c>
      <c r="B938" t="s">
        <v>1880</v>
      </c>
      <c r="C938" t="s">
        <v>14</v>
      </c>
      <c r="D938" t="s">
        <v>65</v>
      </c>
      <c r="E938" t="s">
        <v>44</v>
      </c>
      <c r="F938" t="s">
        <v>17</v>
      </c>
      <c r="G938" t="s">
        <v>18</v>
      </c>
      <c r="H938">
        <v>41</v>
      </c>
      <c r="I938" s="1">
        <v>41130</v>
      </c>
      <c r="J938" s="2">
        <v>245360</v>
      </c>
      <c r="K938" s="3">
        <v>0.37</v>
      </c>
      <c r="L938" t="s">
        <v>19</v>
      </c>
      <c r="M938" t="s">
        <v>25</v>
      </c>
      <c r="N938" s="1" t="s">
        <v>21</v>
      </c>
      <c r="O938" s="1" t="str">
        <f>IF(OR(TBL_Employees[[#This Row],[Exit Date]],FALSE),"Left employees", "Current employees")</f>
        <v>Current employees</v>
      </c>
    </row>
    <row r="939" spans="1:15" x14ac:dyDescent="0.35">
      <c r="A939" t="s">
        <v>1881</v>
      </c>
      <c r="B939" t="s">
        <v>1882</v>
      </c>
      <c r="C939" t="s">
        <v>86</v>
      </c>
      <c r="D939" t="s">
        <v>31</v>
      </c>
      <c r="E939" t="s">
        <v>44</v>
      </c>
      <c r="F939" t="s">
        <v>28</v>
      </c>
      <c r="G939" t="s">
        <v>24</v>
      </c>
      <c r="H939">
        <v>25</v>
      </c>
      <c r="I939" s="1">
        <v>44385</v>
      </c>
      <c r="J939" s="2">
        <v>67275</v>
      </c>
      <c r="K939" s="3">
        <v>0</v>
      </c>
      <c r="L939" t="s">
        <v>19</v>
      </c>
      <c r="M939" t="s">
        <v>29</v>
      </c>
      <c r="N939" s="1" t="s">
        <v>21</v>
      </c>
      <c r="O939" s="1" t="str">
        <f>IF(OR(TBL_Employees[[#This Row],[Exit Date]],FALSE),"Left employees", "Current employees")</f>
        <v>Current employees</v>
      </c>
    </row>
    <row r="940" spans="1:15" x14ac:dyDescent="0.35">
      <c r="A940" t="s">
        <v>1883</v>
      </c>
      <c r="B940" t="s">
        <v>1884</v>
      </c>
      <c r="C940" t="s">
        <v>62</v>
      </c>
      <c r="D940" t="s">
        <v>27</v>
      </c>
      <c r="E940" t="s">
        <v>36</v>
      </c>
      <c r="F940" t="s">
        <v>28</v>
      </c>
      <c r="G940" t="s">
        <v>24</v>
      </c>
      <c r="H940">
        <v>45</v>
      </c>
      <c r="I940" s="1">
        <v>42026</v>
      </c>
      <c r="J940" s="2">
        <v>101288</v>
      </c>
      <c r="K940" s="3">
        <v>0.1</v>
      </c>
      <c r="L940" t="s">
        <v>19</v>
      </c>
      <c r="M940" t="s">
        <v>39</v>
      </c>
      <c r="N940" s="1" t="s">
        <v>21</v>
      </c>
      <c r="O940" s="1" t="str">
        <f>IF(OR(TBL_Employees[[#This Row],[Exit Date]],FALSE),"Left employees", "Current employees")</f>
        <v>Current employees</v>
      </c>
    </row>
    <row r="941" spans="1:15" x14ac:dyDescent="0.35">
      <c r="A941" t="s">
        <v>560</v>
      </c>
      <c r="B941" t="s">
        <v>1885</v>
      </c>
      <c r="C941" t="s">
        <v>40</v>
      </c>
      <c r="D941" t="s">
        <v>23</v>
      </c>
      <c r="E941" t="s">
        <v>44</v>
      </c>
      <c r="F941" t="s">
        <v>17</v>
      </c>
      <c r="G941" t="s">
        <v>51</v>
      </c>
      <c r="H941">
        <v>52</v>
      </c>
      <c r="I941" s="1">
        <v>34209</v>
      </c>
      <c r="J941" s="2">
        <v>177443</v>
      </c>
      <c r="K941" s="3">
        <v>0.25</v>
      </c>
      <c r="L941" t="s">
        <v>52</v>
      </c>
      <c r="M941" t="s">
        <v>53</v>
      </c>
      <c r="N941" s="1" t="s">
        <v>21</v>
      </c>
      <c r="O941" s="1" t="str">
        <f>IF(OR(TBL_Employees[[#This Row],[Exit Date]],FALSE),"Left employees", "Current employees")</f>
        <v>Current employees</v>
      </c>
    </row>
    <row r="942" spans="1:15" x14ac:dyDescent="0.35">
      <c r="A942" t="s">
        <v>1886</v>
      </c>
      <c r="B942" t="s">
        <v>1887</v>
      </c>
      <c r="C942" t="s">
        <v>38</v>
      </c>
      <c r="D942" t="s">
        <v>27</v>
      </c>
      <c r="E942" t="s">
        <v>36</v>
      </c>
      <c r="F942" t="s">
        <v>17</v>
      </c>
      <c r="G942" t="s">
        <v>47</v>
      </c>
      <c r="H942">
        <v>37</v>
      </c>
      <c r="I942" s="1">
        <v>42487</v>
      </c>
      <c r="J942" s="2">
        <v>91400</v>
      </c>
      <c r="K942" s="3">
        <v>0</v>
      </c>
      <c r="L942" t="s">
        <v>19</v>
      </c>
      <c r="M942" t="s">
        <v>20</v>
      </c>
      <c r="N942" s="1" t="s">
        <v>21</v>
      </c>
      <c r="O942" s="1" t="str">
        <f>IF(OR(TBL_Employees[[#This Row],[Exit Date]],FALSE),"Left employees", "Current employees")</f>
        <v>Current employees</v>
      </c>
    </row>
    <row r="943" spans="1:15" x14ac:dyDescent="0.35">
      <c r="A943" t="s">
        <v>1888</v>
      </c>
      <c r="B943" t="s">
        <v>1889</v>
      </c>
      <c r="C943" t="s">
        <v>14</v>
      </c>
      <c r="D943" t="s">
        <v>23</v>
      </c>
      <c r="E943" t="s">
        <v>32</v>
      </c>
      <c r="F943" t="s">
        <v>28</v>
      </c>
      <c r="G943" t="s">
        <v>51</v>
      </c>
      <c r="H943">
        <v>44</v>
      </c>
      <c r="I943" s="1">
        <v>39335</v>
      </c>
      <c r="J943" s="2">
        <v>181247</v>
      </c>
      <c r="K943" s="3">
        <v>0.33</v>
      </c>
      <c r="L943" t="s">
        <v>52</v>
      </c>
      <c r="M943" t="s">
        <v>53</v>
      </c>
      <c r="N943" s="1" t="s">
        <v>21</v>
      </c>
      <c r="O943" s="1" t="str">
        <f>IF(OR(TBL_Employees[[#This Row],[Exit Date]],FALSE),"Left employees", "Current employees")</f>
        <v>Current employees</v>
      </c>
    </row>
    <row r="944" spans="1:15" x14ac:dyDescent="0.35">
      <c r="A944" t="s">
        <v>1890</v>
      </c>
      <c r="B944" t="s">
        <v>1891</v>
      </c>
      <c r="C944" t="s">
        <v>61</v>
      </c>
      <c r="D944" t="s">
        <v>23</v>
      </c>
      <c r="E944" t="s">
        <v>16</v>
      </c>
      <c r="F944" t="s">
        <v>28</v>
      </c>
      <c r="G944" t="s">
        <v>47</v>
      </c>
      <c r="H944">
        <v>42</v>
      </c>
      <c r="I944" s="1">
        <v>37914</v>
      </c>
      <c r="J944" s="2">
        <v>135558</v>
      </c>
      <c r="K944" s="3">
        <v>0.14000000000000001</v>
      </c>
      <c r="L944" t="s">
        <v>19</v>
      </c>
      <c r="M944" t="s">
        <v>39</v>
      </c>
      <c r="N944" s="1" t="s">
        <v>21</v>
      </c>
      <c r="O944" s="1" t="str">
        <f>IF(OR(TBL_Employees[[#This Row],[Exit Date]],FALSE),"Left employees", "Current employees")</f>
        <v>Current employees</v>
      </c>
    </row>
    <row r="945" spans="1:15" x14ac:dyDescent="0.35">
      <c r="A945" t="s">
        <v>1892</v>
      </c>
      <c r="B945" t="s">
        <v>1443</v>
      </c>
      <c r="C945" t="s">
        <v>68</v>
      </c>
      <c r="D945" t="s">
        <v>65</v>
      </c>
      <c r="E945" t="s">
        <v>44</v>
      </c>
      <c r="F945" t="s">
        <v>28</v>
      </c>
      <c r="G945" t="s">
        <v>18</v>
      </c>
      <c r="H945">
        <v>49</v>
      </c>
      <c r="I945" s="1">
        <v>40894</v>
      </c>
      <c r="J945" s="2">
        <v>56878</v>
      </c>
      <c r="K945" s="3">
        <v>0</v>
      </c>
      <c r="L945" t="s">
        <v>19</v>
      </c>
      <c r="M945" t="s">
        <v>63</v>
      </c>
      <c r="N945" s="1" t="s">
        <v>21</v>
      </c>
      <c r="O945" s="1" t="str">
        <f>IF(OR(TBL_Employees[[#This Row],[Exit Date]],FALSE),"Left employees", "Current employees")</f>
        <v>Current employees</v>
      </c>
    </row>
    <row r="946" spans="1:15" x14ac:dyDescent="0.35">
      <c r="A946" t="s">
        <v>213</v>
      </c>
      <c r="B946" t="s">
        <v>1893</v>
      </c>
      <c r="C946" t="s">
        <v>91</v>
      </c>
      <c r="D946" t="s">
        <v>27</v>
      </c>
      <c r="E946" t="s">
        <v>44</v>
      </c>
      <c r="F946" t="s">
        <v>28</v>
      </c>
      <c r="G946" t="s">
        <v>24</v>
      </c>
      <c r="H946">
        <v>34</v>
      </c>
      <c r="I946" s="1">
        <v>43728</v>
      </c>
      <c r="J946" s="2">
        <v>94735</v>
      </c>
      <c r="K946" s="3">
        <v>0</v>
      </c>
      <c r="L946" t="s">
        <v>33</v>
      </c>
      <c r="M946" t="s">
        <v>60</v>
      </c>
      <c r="N946" s="1" t="s">
        <v>21</v>
      </c>
      <c r="O946" s="1" t="str">
        <f>IF(OR(TBL_Employees[[#This Row],[Exit Date]],FALSE),"Left employees", "Current employees")</f>
        <v>Current employees</v>
      </c>
    </row>
    <row r="947" spans="1:15" x14ac:dyDescent="0.35">
      <c r="A947" t="s">
        <v>1894</v>
      </c>
      <c r="B947" t="s">
        <v>1895</v>
      </c>
      <c r="C947" t="s">
        <v>64</v>
      </c>
      <c r="D947" t="s">
        <v>50</v>
      </c>
      <c r="E947" t="s">
        <v>36</v>
      </c>
      <c r="F947" t="s">
        <v>28</v>
      </c>
      <c r="G947" t="s">
        <v>51</v>
      </c>
      <c r="H947">
        <v>39</v>
      </c>
      <c r="I947" s="1">
        <v>39229</v>
      </c>
      <c r="J947" s="2">
        <v>51234</v>
      </c>
      <c r="K947" s="3">
        <v>0</v>
      </c>
      <c r="L947" t="s">
        <v>19</v>
      </c>
      <c r="M947" t="s">
        <v>63</v>
      </c>
      <c r="N947" s="1" t="s">
        <v>21</v>
      </c>
      <c r="O947" s="1" t="str">
        <f>IF(OR(TBL_Employees[[#This Row],[Exit Date]],FALSE),"Left employees", "Current employees")</f>
        <v>Current employees</v>
      </c>
    </row>
    <row r="948" spans="1:15" x14ac:dyDescent="0.35">
      <c r="A948" t="s">
        <v>1448</v>
      </c>
      <c r="B948" t="s">
        <v>1896</v>
      </c>
      <c r="C948" t="s">
        <v>14</v>
      </c>
      <c r="D948" t="s">
        <v>23</v>
      </c>
      <c r="E948" t="s">
        <v>44</v>
      </c>
      <c r="F948" t="s">
        <v>28</v>
      </c>
      <c r="G948" t="s">
        <v>24</v>
      </c>
      <c r="H948">
        <v>31</v>
      </c>
      <c r="I948" s="1">
        <v>42018</v>
      </c>
      <c r="J948" s="2">
        <v>230025</v>
      </c>
      <c r="K948" s="3">
        <v>0.34</v>
      </c>
      <c r="L948" t="s">
        <v>19</v>
      </c>
      <c r="M948" t="s">
        <v>39</v>
      </c>
      <c r="N948" s="1" t="s">
        <v>21</v>
      </c>
      <c r="O948" s="1" t="str">
        <f>IF(OR(TBL_Employees[[#This Row],[Exit Date]],FALSE),"Left employees", "Current employees")</f>
        <v>Current employees</v>
      </c>
    </row>
    <row r="949" spans="1:15" x14ac:dyDescent="0.35">
      <c r="A949" t="s">
        <v>407</v>
      </c>
      <c r="B949" t="s">
        <v>1897</v>
      </c>
      <c r="C949" t="s">
        <v>61</v>
      </c>
      <c r="D949" t="s">
        <v>23</v>
      </c>
      <c r="E949" t="s">
        <v>44</v>
      </c>
      <c r="F949" t="s">
        <v>17</v>
      </c>
      <c r="G949" t="s">
        <v>24</v>
      </c>
      <c r="H949">
        <v>36</v>
      </c>
      <c r="I949" s="1">
        <v>40248</v>
      </c>
      <c r="J949" s="2">
        <v>134006</v>
      </c>
      <c r="K949" s="3">
        <v>0.13</v>
      </c>
      <c r="L949" t="s">
        <v>33</v>
      </c>
      <c r="M949" t="s">
        <v>60</v>
      </c>
      <c r="N949" s="1" t="s">
        <v>21</v>
      </c>
      <c r="O949" s="1" t="str">
        <f>IF(OR(TBL_Employees[[#This Row],[Exit Date]],FALSE),"Left employees", "Current employees")</f>
        <v>Current employees</v>
      </c>
    </row>
    <row r="950" spans="1:15" x14ac:dyDescent="0.35">
      <c r="A950" t="s">
        <v>325</v>
      </c>
      <c r="B950" t="s">
        <v>1898</v>
      </c>
      <c r="C950" t="s">
        <v>62</v>
      </c>
      <c r="D950" t="s">
        <v>15</v>
      </c>
      <c r="E950" t="s">
        <v>32</v>
      </c>
      <c r="F950" t="s">
        <v>17</v>
      </c>
      <c r="G950" t="s">
        <v>24</v>
      </c>
      <c r="H950">
        <v>61</v>
      </c>
      <c r="I950" s="1">
        <v>40092</v>
      </c>
      <c r="J950" s="2">
        <v>103096</v>
      </c>
      <c r="K950" s="3">
        <v>7.0000000000000007E-2</v>
      </c>
      <c r="L950" t="s">
        <v>33</v>
      </c>
      <c r="M950" t="s">
        <v>60</v>
      </c>
      <c r="N950" s="1" t="s">
        <v>21</v>
      </c>
      <c r="O950" s="1" t="str">
        <f>IF(OR(TBL_Employees[[#This Row],[Exit Date]],FALSE),"Left employees", "Current employees")</f>
        <v>Current employees</v>
      </c>
    </row>
    <row r="951" spans="1:15" x14ac:dyDescent="0.35">
      <c r="A951" t="s">
        <v>1899</v>
      </c>
      <c r="B951" t="s">
        <v>1900</v>
      </c>
      <c r="C951" t="s">
        <v>68</v>
      </c>
      <c r="D951" t="s">
        <v>65</v>
      </c>
      <c r="E951" t="s">
        <v>36</v>
      </c>
      <c r="F951" t="s">
        <v>28</v>
      </c>
      <c r="G951" t="s">
        <v>24</v>
      </c>
      <c r="H951">
        <v>29</v>
      </c>
      <c r="I951" s="1">
        <v>42602</v>
      </c>
      <c r="J951" s="2">
        <v>58703</v>
      </c>
      <c r="K951" s="3">
        <v>0</v>
      </c>
      <c r="L951" t="s">
        <v>19</v>
      </c>
      <c r="M951" t="s">
        <v>29</v>
      </c>
      <c r="N951" s="1" t="s">
        <v>21</v>
      </c>
      <c r="O951" s="1" t="str">
        <f>IF(OR(TBL_Employees[[#This Row],[Exit Date]],FALSE),"Left employees", "Current employees")</f>
        <v>Current employees</v>
      </c>
    </row>
    <row r="952" spans="1:15" x14ac:dyDescent="0.35">
      <c r="A952" t="s">
        <v>1901</v>
      </c>
      <c r="B952" t="s">
        <v>1902</v>
      </c>
      <c r="C952" t="s">
        <v>61</v>
      </c>
      <c r="D952" t="s">
        <v>27</v>
      </c>
      <c r="E952" t="s">
        <v>44</v>
      </c>
      <c r="F952" t="s">
        <v>28</v>
      </c>
      <c r="G952" t="s">
        <v>51</v>
      </c>
      <c r="H952">
        <v>33</v>
      </c>
      <c r="I952" s="1">
        <v>41267</v>
      </c>
      <c r="J952" s="2">
        <v>132544</v>
      </c>
      <c r="K952" s="3">
        <v>0.1</v>
      </c>
      <c r="L952" t="s">
        <v>52</v>
      </c>
      <c r="M952" t="s">
        <v>66</v>
      </c>
      <c r="N952" s="1" t="s">
        <v>21</v>
      </c>
      <c r="O952" s="1" t="str">
        <f>IF(OR(TBL_Employees[[#This Row],[Exit Date]],FALSE),"Left employees", "Current employees")</f>
        <v>Current employees</v>
      </c>
    </row>
    <row r="953" spans="1:15" x14ac:dyDescent="0.35">
      <c r="A953" t="s">
        <v>399</v>
      </c>
      <c r="B953" t="s">
        <v>1903</v>
      </c>
      <c r="C953" t="s">
        <v>62</v>
      </c>
      <c r="D953" t="s">
        <v>15</v>
      </c>
      <c r="E953" t="s">
        <v>36</v>
      </c>
      <c r="F953" t="s">
        <v>28</v>
      </c>
      <c r="G953" t="s">
        <v>18</v>
      </c>
      <c r="H953">
        <v>32</v>
      </c>
      <c r="I953" s="1">
        <v>43936</v>
      </c>
      <c r="J953" s="2">
        <v>126671</v>
      </c>
      <c r="K953" s="3">
        <v>0.09</v>
      </c>
      <c r="L953" t="s">
        <v>19</v>
      </c>
      <c r="M953" t="s">
        <v>45</v>
      </c>
      <c r="N953" s="1" t="s">
        <v>21</v>
      </c>
      <c r="O953" s="1" t="str">
        <f>IF(OR(TBL_Employees[[#This Row],[Exit Date]],FALSE),"Left employees", "Current employees")</f>
        <v>Current employees</v>
      </c>
    </row>
    <row r="954" spans="1:15" x14ac:dyDescent="0.35">
      <c r="A954" t="s">
        <v>282</v>
      </c>
      <c r="B954" t="s">
        <v>1904</v>
      </c>
      <c r="C954" t="s">
        <v>94</v>
      </c>
      <c r="D954" t="s">
        <v>50</v>
      </c>
      <c r="E954" t="s">
        <v>16</v>
      </c>
      <c r="F954" t="s">
        <v>17</v>
      </c>
      <c r="G954" t="s">
        <v>24</v>
      </c>
      <c r="H954">
        <v>33</v>
      </c>
      <c r="I954" s="1">
        <v>44218</v>
      </c>
      <c r="J954" s="2">
        <v>56405</v>
      </c>
      <c r="K954" s="3">
        <v>0</v>
      </c>
      <c r="L954" t="s">
        <v>19</v>
      </c>
      <c r="M954" t="s">
        <v>20</v>
      </c>
      <c r="N954" s="1" t="s">
        <v>21</v>
      </c>
      <c r="O954" s="1" t="str">
        <f>IF(OR(TBL_Employees[[#This Row],[Exit Date]],FALSE),"Left employees", "Current employees")</f>
        <v>Current employees</v>
      </c>
    </row>
    <row r="955" spans="1:15" x14ac:dyDescent="0.35">
      <c r="A955" t="s">
        <v>204</v>
      </c>
      <c r="B955" t="s">
        <v>1905</v>
      </c>
      <c r="C955" t="s">
        <v>56</v>
      </c>
      <c r="D955" t="s">
        <v>27</v>
      </c>
      <c r="E955" t="s">
        <v>44</v>
      </c>
      <c r="F955" t="s">
        <v>17</v>
      </c>
      <c r="G955" t="s">
        <v>24</v>
      </c>
      <c r="H955">
        <v>36</v>
      </c>
      <c r="I955" s="1">
        <v>41972</v>
      </c>
      <c r="J955" s="2">
        <v>88730</v>
      </c>
      <c r="K955" s="3">
        <v>0.08</v>
      </c>
      <c r="L955" t="s">
        <v>33</v>
      </c>
      <c r="M955" t="s">
        <v>80</v>
      </c>
      <c r="N955" s="1" t="s">
        <v>21</v>
      </c>
      <c r="O955" s="1" t="str">
        <f>IF(OR(TBL_Employees[[#This Row],[Exit Date]],FALSE),"Left employees", "Current employees")</f>
        <v>Current employees</v>
      </c>
    </row>
    <row r="956" spans="1:15" x14ac:dyDescent="0.35">
      <c r="A956" t="s">
        <v>1906</v>
      </c>
      <c r="B956" t="s">
        <v>1907</v>
      </c>
      <c r="C956" t="s">
        <v>64</v>
      </c>
      <c r="D956" t="s">
        <v>15</v>
      </c>
      <c r="E956" t="s">
        <v>36</v>
      </c>
      <c r="F956" t="s">
        <v>28</v>
      </c>
      <c r="G956" t="s">
        <v>51</v>
      </c>
      <c r="H956">
        <v>39</v>
      </c>
      <c r="I956" s="1">
        <v>39708</v>
      </c>
      <c r="J956" s="2">
        <v>62861</v>
      </c>
      <c r="K956" s="3">
        <v>0</v>
      </c>
      <c r="L956" t="s">
        <v>19</v>
      </c>
      <c r="M956" t="s">
        <v>63</v>
      </c>
      <c r="N956" s="1" t="s">
        <v>21</v>
      </c>
      <c r="O956" s="1" t="str">
        <f>IF(OR(TBL_Employees[[#This Row],[Exit Date]],FALSE),"Left employees", "Current employees")</f>
        <v>Current employees</v>
      </c>
    </row>
    <row r="957" spans="1:15" x14ac:dyDescent="0.35">
      <c r="A957" t="s">
        <v>1908</v>
      </c>
      <c r="B957" t="s">
        <v>1909</v>
      </c>
      <c r="C957" t="s">
        <v>40</v>
      </c>
      <c r="D957" t="s">
        <v>23</v>
      </c>
      <c r="E957" t="s">
        <v>32</v>
      </c>
      <c r="F957" t="s">
        <v>17</v>
      </c>
      <c r="G957" t="s">
        <v>51</v>
      </c>
      <c r="H957">
        <v>53</v>
      </c>
      <c r="I957" s="1">
        <v>38919</v>
      </c>
      <c r="J957" s="2">
        <v>151246</v>
      </c>
      <c r="K957" s="3">
        <v>0.21</v>
      </c>
      <c r="L957" t="s">
        <v>52</v>
      </c>
      <c r="M957" t="s">
        <v>53</v>
      </c>
      <c r="N957" s="1" t="s">
        <v>21</v>
      </c>
      <c r="O957" s="1" t="str">
        <f>IF(OR(TBL_Employees[[#This Row],[Exit Date]],FALSE),"Left employees", "Current employees")</f>
        <v>Current employees</v>
      </c>
    </row>
    <row r="958" spans="1:15" x14ac:dyDescent="0.35">
      <c r="A958" t="s">
        <v>1910</v>
      </c>
      <c r="B958" t="s">
        <v>1911</v>
      </c>
      <c r="C958" t="s">
        <v>61</v>
      </c>
      <c r="D958" t="s">
        <v>27</v>
      </c>
      <c r="E958" t="s">
        <v>36</v>
      </c>
      <c r="F958" t="s">
        <v>17</v>
      </c>
      <c r="G958" t="s">
        <v>24</v>
      </c>
      <c r="H958">
        <v>53</v>
      </c>
      <c r="I958" s="1">
        <v>35532</v>
      </c>
      <c r="J958" s="2">
        <v>154388</v>
      </c>
      <c r="K958" s="3">
        <v>0.1</v>
      </c>
      <c r="L958" t="s">
        <v>19</v>
      </c>
      <c r="M958" t="s">
        <v>63</v>
      </c>
      <c r="N958" s="1" t="s">
        <v>21</v>
      </c>
      <c r="O958" s="1" t="str">
        <f>IF(OR(TBL_Employees[[#This Row],[Exit Date]],FALSE),"Left employees", "Current employees")</f>
        <v>Current employees</v>
      </c>
    </row>
    <row r="959" spans="1:15" x14ac:dyDescent="0.35">
      <c r="A959" t="s">
        <v>1134</v>
      </c>
      <c r="B959" t="s">
        <v>1912</v>
      </c>
      <c r="C959" t="s">
        <v>40</v>
      </c>
      <c r="D959" t="s">
        <v>23</v>
      </c>
      <c r="E959" t="s">
        <v>36</v>
      </c>
      <c r="F959" t="s">
        <v>17</v>
      </c>
      <c r="G959" t="s">
        <v>18</v>
      </c>
      <c r="H959">
        <v>54</v>
      </c>
      <c r="I959" s="1">
        <v>34603</v>
      </c>
      <c r="J959" s="2">
        <v>162978</v>
      </c>
      <c r="K959" s="3">
        <v>0.17</v>
      </c>
      <c r="L959" t="s">
        <v>19</v>
      </c>
      <c r="M959" t="s">
        <v>45</v>
      </c>
      <c r="N959" s="1">
        <v>38131</v>
      </c>
      <c r="O959" s="1" t="str">
        <f>IF(OR(TBL_Employees[[#This Row],[Exit Date]],FALSE),"Left employees", "Current employees")</f>
        <v>Left employees</v>
      </c>
    </row>
    <row r="960" spans="1:15" x14ac:dyDescent="0.35">
      <c r="A960" t="s">
        <v>1913</v>
      </c>
      <c r="B960" t="s">
        <v>1914</v>
      </c>
      <c r="C960" t="s">
        <v>88</v>
      </c>
      <c r="D960" t="s">
        <v>27</v>
      </c>
      <c r="E960" t="s">
        <v>44</v>
      </c>
      <c r="F960" t="s">
        <v>28</v>
      </c>
      <c r="G960" t="s">
        <v>51</v>
      </c>
      <c r="H960">
        <v>55</v>
      </c>
      <c r="I960" s="1">
        <v>34290</v>
      </c>
      <c r="J960" s="2">
        <v>80170</v>
      </c>
      <c r="K960" s="3">
        <v>0</v>
      </c>
      <c r="L960" t="s">
        <v>19</v>
      </c>
      <c r="M960" t="s">
        <v>45</v>
      </c>
      <c r="N960" s="1" t="s">
        <v>21</v>
      </c>
      <c r="O960" s="1" t="str">
        <f>IF(OR(TBL_Employees[[#This Row],[Exit Date]],FALSE),"Left employees", "Current employees")</f>
        <v>Current employees</v>
      </c>
    </row>
    <row r="961" spans="1:15" x14ac:dyDescent="0.35">
      <c r="A961" t="s">
        <v>1297</v>
      </c>
      <c r="B961" t="s">
        <v>1915</v>
      </c>
      <c r="C961" t="s">
        <v>42</v>
      </c>
      <c r="D961" t="s">
        <v>65</v>
      </c>
      <c r="E961" t="s">
        <v>36</v>
      </c>
      <c r="F961" t="s">
        <v>17</v>
      </c>
      <c r="G961" t="s">
        <v>24</v>
      </c>
      <c r="H961">
        <v>44</v>
      </c>
      <c r="I961" s="1">
        <v>44314</v>
      </c>
      <c r="J961" s="2">
        <v>98520</v>
      </c>
      <c r="K961" s="3">
        <v>0</v>
      </c>
      <c r="L961" t="s">
        <v>19</v>
      </c>
      <c r="M961" t="s">
        <v>45</v>
      </c>
      <c r="N961" s="1" t="s">
        <v>21</v>
      </c>
      <c r="O961" s="1" t="str">
        <f>IF(OR(TBL_Employees[[#This Row],[Exit Date]],FALSE),"Left employees", "Current employees")</f>
        <v>Current employees</v>
      </c>
    </row>
    <row r="962" spans="1:15" x14ac:dyDescent="0.35">
      <c r="A962" t="s">
        <v>1600</v>
      </c>
      <c r="B962" t="s">
        <v>1916</v>
      </c>
      <c r="C962" t="s">
        <v>62</v>
      </c>
      <c r="D962" t="s">
        <v>15</v>
      </c>
      <c r="E962" t="s">
        <v>36</v>
      </c>
      <c r="F962" t="s">
        <v>28</v>
      </c>
      <c r="G962" t="s">
        <v>24</v>
      </c>
      <c r="H962">
        <v>52</v>
      </c>
      <c r="I962" s="1">
        <v>36523</v>
      </c>
      <c r="J962" s="2">
        <v>116527</v>
      </c>
      <c r="K962" s="3">
        <v>7.0000000000000007E-2</v>
      </c>
      <c r="L962" t="s">
        <v>19</v>
      </c>
      <c r="M962" t="s">
        <v>39</v>
      </c>
      <c r="N962" s="1" t="s">
        <v>21</v>
      </c>
      <c r="O962" s="1" t="str">
        <f>IF(OR(TBL_Employees[[#This Row],[Exit Date]],FALSE),"Left employees", "Current employees")</f>
        <v>Current employees</v>
      </c>
    </row>
    <row r="963" spans="1:15" x14ac:dyDescent="0.35">
      <c r="A963" t="s">
        <v>1737</v>
      </c>
      <c r="B963" t="s">
        <v>145</v>
      </c>
      <c r="C963" t="s">
        <v>40</v>
      </c>
      <c r="D963" t="s">
        <v>50</v>
      </c>
      <c r="E963" t="s">
        <v>16</v>
      </c>
      <c r="F963" t="s">
        <v>28</v>
      </c>
      <c r="G963" t="s">
        <v>24</v>
      </c>
      <c r="H963">
        <v>27</v>
      </c>
      <c r="I963" s="1">
        <v>43776</v>
      </c>
      <c r="J963" s="2">
        <v>174607</v>
      </c>
      <c r="K963" s="3">
        <v>0.28999999999999998</v>
      </c>
      <c r="L963" t="s">
        <v>19</v>
      </c>
      <c r="M963" t="s">
        <v>29</v>
      </c>
      <c r="N963" s="1" t="s">
        <v>21</v>
      </c>
      <c r="O963" s="1" t="str">
        <f>IF(OR(TBL_Employees[[#This Row],[Exit Date]],FALSE),"Left employees", "Current employees")</f>
        <v>Current employees</v>
      </c>
    </row>
    <row r="964" spans="1:15" x14ac:dyDescent="0.35">
      <c r="A964" t="s">
        <v>1917</v>
      </c>
      <c r="B964" t="s">
        <v>1918</v>
      </c>
      <c r="C964" t="s">
        <v>64</v>
      </c>
      <c r="D964" t="s">
        <v>65</v>
      </c>
      <c r="E964" t="s">
        <v>16</v>
      </c>
      <c r="F964" t="s">
        <v>28</v>
      </c>
      <c r="G964" t="s">
        <v>51</v>
      </c>
      <c r="H964">
        <v>58</v>
      </c>
      <c r="I964" s="1">
        <v>38819</v>
      </c>
      <c r="J964" s="2">
        <v>64202</v>
      </c>
      <c r="K964" s="3">
        <v>0</v>
      </c>
      <c r="L964" t="s">
        <v>19</v>
      </c>
      <c r="M964" t="s">
        <v>29</v>
      </c>
      <c r="N964" s="1" t="s">
        <v>21</v>
      </c>
      <c r="O964" s="1" t="str">
        <f>IF(OR(TBL_Employees[[#This Row],[Exit Date]],FALSE),"Left employees", "Current employees")</f>
        <v>Current employees</v>
      </c>
    </row>
    <row r="965" spans="1:15" x14ac:dyDescent="0.35">
      <c r="A965" t="s">
        <v>371</v>
      </c>
      <c r="B965" t="s">
        <v>1919</v>
      </c>
      <c r="C965" t="s">
        <v>64</v>
      </c>
      <c r="D965" t="s">
        <v>65</v>
      </c>
      <c r="E965" t="s">
        <v>32</v>
      </c>
      <c r="F965" t="s">
        <v>28</v>
      </c>
      <c r="G965" t="s">
        <v>24</v>
      </c>
      <c r="H965">
        <v>49</v>
      </c>
      <c r="I965" s="1">
        <v>43671</v>
      </c>
      <c r="J965" s="2">
        <v>50883</v>
      </c>
      <c r="K965" s="3">
        <v>0</v>
      </c>
      <c r="L965" t="s">
        <v>33</v>
      </c>
      <c r="M965" t="s">
        <v>80</v>
      </c>
      <c r="N965" s="1">
        <v>44257</v>
      </c>
      <c r="O965" s="1" t="str">
        <f>IF(OR(TBL_Employees[[#This Row],[Exit Date]],FALSE),"Left employees", "Current employees")</f>
        <v>Left employees</v>
      </c>
    </row>
    <row r="966" spans="1:15" x14ac:dyDescent="0.35">
      <c r="A966" t="s">
        <v>260</v>
      </c>
      <c r="B966" t="s">
        <v>1920</v>
      </c>
      <c r="C966" t="s">
        <v>71</v>
      </c>
      <c r="D966" t="s">
        <v>27</v>
      </c>
      <c r="E966" t="s">
        <v>44</v>
      </c>
      <c r="F966" t="s">
        <v>17</v>
      </c>
      <c r="G966" t="s">
        <v>51</v>
      </c>
      <c r="H966">
        <v>36</v>
      </c>
      <c r="I966" s="1">
        <v>42677</v>
      </c>
      <c r="J966" s="2">
        <v>94618</v>
      </c>
      <c r="K966" s="3">
        <v>0</v>
      </c>
      <c r="L966" t="s">
        <v>19</v>
      </c>
      <c r="M966" t="s">
        <v>29</v>
      </c>
      <c r="N966" s="1" t="s">
        <v>21</v>
      </c>
      <c r="O966" s="1" t="str">
        <f>IF(OR(TBL_Employees[[#This Row],[Exit Date]],FALSE),"Left employees", "Current employees")</f>
        <v>Current employees</v>
      </c>
    </row>
    <row r="967" spans="1:15" x14ac:dyDescent="0.35">
      <c r="A967" t="s">
        <v>1921</v>
      </c>
      <c r="B967" t="s">
        <v>1922</v>
      </c>
      <c r="C967" t="s">
        <v>40</v>
      </c>
      <c r="D967" t="s">
        <v>43</v>
      </c>
      <c r="E967" t="s">
        <v>16</v>
      </c>
      <c r="F967" t="s">
        <v>28</v>
      </c>
      <c r="G967" t="s">
        <v>18</v>
      </c>
      <c r="H967">
        <v>26</v>
      </c>
      <c r="I967" s="1">
        <v>43753</v>
      </c>
      <c r="J967" s="2">
        <v>151556</v>
      </c>
      <c r="K967" s="3">
        <v>0.2</v>
      </c>
      <c r="L967" t="s">
        <v>19</v>
      </c>
      <c r="M967" t="s">
        <v>45</v>
      </c>
      <c r="N967" s="1" t="s">
        <v>21</v>
      </c>
      <c r="O967" s="1" t="str">
        <f>IF(OR(TBL_Employees[[#This Row],[Exit Date]],FALSE),"Left employees", "Current employees")</f>
        <v>Current employees</v>
      </c>
    </row>
    <row r="968" spans="1:15" x14ac:dyDescent="0.35">
      <c r="A968" t="s">
        <v>1923</v>
      </c>
      <c r="B968" t="s">
        <v>1924</v>
      </c>
      <c r="C968" t="s">
        <v>86</v>
      </c>
      <c r="D968" t="s">
        <v>31</v>
      </c>
      <c r="E968" t="s">
        <v>16</v>
      </c>
      <c r="F968" t="s">
        <v>17</v>
      </c>
      <c r="G968" t="s">
        <v>24</v>
      </c>
      <c r="H968">
        <v>37</v>
      </c>
      <c r="I968" s="1">
        <v>43898</v>
      </c>
      <c r="J968" s="2">
        <v>80659</v>
      </c>
      <c r="K968" s="3">
        <v>0</v>
      </c>
      <c r="L968" t="s">
        <v>19</v>
      </c>
      <c r="M968" t="s">
        <v>39</v>
      </c>
      <c r="N968" s="1" t="s">
        <v>21</v>
      </c>
      <c r="O968" s="1" t="str">
        <f>IF(OR(TBL_Employees[[#This Row],[Exit Date]],FALSE),"Left employees", "Current employees")</f>
        <v>Current employees</v>
      </c>
    </row>
    <row r="969" spans="1:15" x14ac:dyDescent="0.35">
      <c r="A969" t="s">
        <v>1925</v>
      </c>
      <c r="B969" t="s">
        <v>1926</v>
      </c>
      <c r="C969" t="s">
        <v>40</v>
      </c>
      <c r="D969" t="s">
        <v>23</v>
      </c>
      <c r="E969" t="s">
        <v>44</v>
      </c>
      <c r="F969" t="s">
        <v>28</v>
      </c>
      <c r="G969" t="s">
        <v>24</v>
      </c>
      <c r="H969">
        <v>47</v>
      </c>
      <c r="I969" s="1">
        <v>43772</v>
      </c>
      <c r="J969" s="2">
        <v>195385</v>
      </c>
      <c r="K969" s="3">
        <v>0.21</v>
      </c>
      <c r="L969" t="s">
        <v>33</v>
      </c>
      <c r="M969" t="s">
        <v>34</v>
      </c>
      <c r="N969" s="1" t="s">
        <v>21</v>
      </c>
      <c r="O969" s="1" t="str">
        <f>IF(OR(TBL_Employees[[#This Row],[Exit Date]],FALSE),"Left employees", "Current employees")</f>
        <v>Current employees</v>
      </c>
    </row>
    <row r="970" spans="1:15" x14ac:dyDescent="0.35">
      <c r="A970" t="s">
        <v>1927</v>
      </c>
      <c r="B970" t="s">
        <v>1928</v>
      </c>
      <c r="C970" t="s">
        <v>76</v>
      </c>
      <c r="D970" t="s">
        <v>27</v>
      </c>
      <c r="E970" t="s">
        <v>44</v>
      </c>
      <c r="F970" t="s">
        <v>28</v>
      </c>
      <c r="G970" t="s">
        <v>51</v>
      </c>
      <c r="H970">
        <v>29</v>
      </c>
      <c r="I970" s="1">
        <v>42509</v>
      </c>
      <c r="J970" s="2">
        <v>52693</v>
      </c>
      <c r="K970" s="3">
        <v>0</v>
      </c>
      <c r="L970" t="s">
        <v>52</v>
      </c>
      <c r="M970" t="s">
        <v>66</v>
      </c>
      <c r="N970" s="1" t="s">
        <v>21</v>
      </c>
      <c r="O970" s="1" t="str">
        <f>IF(OR(TBL_Employees[[#This Row],[Exit Date]],FALSE),"Left employees", "Current employees")</f>
        <v>Current employees</v>
      </c>
    </row>
    <row r="971" spans="1:15" x14ac:dyDescent="0.35">
      <c r="A971" t="s">
        <v>1929</v>
      </c>
      <c r="B971" t="s">
        <v>1930</v>
      </c>
      <c r="C971" t="s">
        <v>89</v>
      </c>
      <c r="D971" t="s">
        <v>27</v>
      </c>
      <c r="E971" t="s">
        <v>16</v>
      </c>
      <c r="F971" t="s">
        <v>17</v>
      </c>
      <c r="G971" t="s">
        <v>18</v>
      </c>
      <c r="H971">
        <v>58</v>
      </c>
      <c r="I971" s="1">
        <v>42486</v>
      </c>
      <c r="J971" s="2">
        <v>72045</v>
      </c>
      <c r="K971" s="3">
        <v>0</v>
      </c>
      <c r="L971" t="s">
        <v>19</v>
      </c>
      <c r="M971" t="s">
        <v>39</v>
      </c>
      <c r="N971" s="1" t="s">
        <v>21</v>
      </c>
      <c r="O971" s="1" t="str">
        <f>IF(OR(TBL_Employees[[#This Row],[Exit Date]],FALSE),"Left employees", "Current employees")</f>
        <v>Current employees</v>
      </c>
    </row>
    <row r="972" spans="1:15" x14ac:dyDescent="0.35">
      <c r="A972" t="s">
        <v>1931</v>
      </c>
      <c r="B972" t="s">
        <v>1932</v>
      </c>
      <c r="C972" t="s">
        <v>64</v>
      </c>
      <c r="D972" t="s">
        <v>43</v>
      </c>
      <c r="E972" t="s">
        <v>36</v>
      </c>
      <c r="F972" t="s">
        <v>28</v>
      </c>
      <c r="G972" t="s">
        <v>51</v>
      </c>
      <c r="H972">
        <v>47</v>
      </c>
      <c r="I972" s="1">
        <v>38684</v>
      </c>
      <c r="J972" s="2">
        <v>62749</v>
      </c>
      <c r="K972" s="3">
        <v>0</v>
      </c>
      <c r="L972" t="s">
        <v>52</v>
      </c>
      <c r="M972" t="s">
        <v>81</v>
      </c>
      <c r="N972" s="1" t="s">
        <v>21</v>
      </c>
      <c r="O972" s="1" t="str">
        <f>IF(OR(TBL_Employees[[#This Row],[Exit Date]],FALSE),"Left employees", "Current employees")</f>
        <v>Current employees</v>
      </c>
    </row>
    <row r="973" spans="1:15" x14ac:dyDescent="0.35">
      <c r="A973" t="s">
        <v>1933</v>
      </c>
      <c r="B973" t="s">
        <v>1934</v>
      </c>
      <c r="C973" t="s">
        <v>61</v>
      </c>
      <c r="D973" t="s">
        <v>43</v>
      </c>
      <c r="E973" t="s">
        <v>44</v>
      </c>
      <c r="F973" t="s">
        <v>28</v>
      </c>
      <c r="G973" t="s">
        <v>24</v>
      </c>
      <c r="H973">
        <v>52</v>
      </c>
      <c r="I973" s="1">
        <v>43255</v>
      </c>
      <c r="J973" s="2">
        <v>154884</v>
      </c>
      <c r="K973" s="3">
        <v>0.1</v>
      </c>
      <c r="L973" t="s">
        <v>33</v>
      </c>
      <c r="M973" t="s">
        <v>74</v>
      </c>
      <c r="N973" s="1" t="s">
        <v>21</v>
      </c>
      <c r="O973" s="1" t="str">
        <f>IF(OR(TBL_Employees[[#This Row],[Exit Date]],FALSE),"Left employees", "Current employees")</f>
        <v>Current employees</v>
      </c>
    </row>
    <row r="974" spans="1:15" x14ac:dyDescent="0.35">
      <c r="A974" t="s">
        <v>1935</v>
      </c>
      <c r="B974" t="s">
        <v>1936</v>
      </c>
      <c r="C974" t="s">
        <v>71</v>
      </c>
      <c r="D974" t="s">
        <v>27</v>
      </c>
      <c r="E974" t="s">
        <v>16</v>
      </c>
      <c r="F974" t="s">
        <v>28</v>
      </c>
      <c r="G974" t="s">
        <v>18</v>
      </c>
      <c r="H974">
        <v>61</v>
      </c>
      <c r="I974" s="1">
        <v>42437</v>
      </c>
      <c r="J974" s="2">
        <v>96566</v>
      </c>
      <c r="K974" s="3">
        <v>0</v>
      </c>
      <c r="L974" t="s">
        <v>19</v>
      </c>
      <c r="M974" t="s">
        <v>29</v>
      </c>
      <c r="N974" s="1" t="s">
        <v>21</v>
      </c>
      <c r="O974" s="1" t="str">
        <f>IF(OR(TBL_Employees[[#This Row],[Exit Date]],FALSE),"Left employees", "Current employees")</f>
        <v>Current employees</v>
      </c>
    </row>
    <row r="975" spans="1:15" x14ac:dyDescent="0.35">
      <c r="A975" t="s">
        <v>197</v>
      </c>
      <c r="B975" t="s">
        <v>1937</v>
      </c>
      <c r="C975" t="s">
        <v>76</v>
      </c>
      <c r="D975" t="s">
        <v>27</v>
      </c>
      <c r="E975" t="s">
        <v>16</v>
      </c>
      <c r="F975" t="s">
        <v>28</v>
      </c>
      <c r="G975" t="s">
        <v>51</v>
      </c>
      <c r="H975">
        <v>45</v>
      </c>
      <c r="I975" s="1">
        <v>37126</v>
      </c>
      <c r="J975" s="2">
        <v>54994</v>
      </c>
      <c r="K975" s="3">
        <v>0</v>
      </c>
      <c r="L975" t="s">
        <v>19</v>
      </c>
      <c r="M975" t="s">
        <v>29</v>
      </c>
      <c r="N975" s="1" t="s">
        <v>21</v>
      </c>
      <c r="O975" s="1" t="str">
        <f>IF(OR(TBL_Employees[[#This Row],[Exit Date]],FALSE),"Left employees", "Current employees")</f>
        <v>Current employees</v>
      </c>
    </row>
    <row r="976" spans="1:15" x14ac:dyDescent="0.35">
      <c r="A976" t="s">
        <v>1938</v>
      </c>
      <c r="B976" t="s">
        <v>1939</v>
      </c>
      <c r="C976" t="s">
        <v>89</v>
      </c>
      <c r="D976" t="s">
        <v>27</v>
      </c>
      <c r="E976" t="s">
        <v>32</v>
      </c>
      <c r="F976" t="s">
        <v>17</v>
      </c>
      <c r="G976" t="s">
        <v>18</v>
      </c>
      <c r="H976">
        <v>40</v>
      </c>
      <c r="I976" s="1">
        <v>40944</v>
      </c>
      <c r="J976" s="2">
        <v>61523</v>
      </c>
      <c r="K976" s="3">
        <v>0</v>
      </c>
      <c r="L976" t="s">
        <v>19</v>
      </c>
      <c r="M976" t="s">
        <v>29</v>
      </c>
      <c r="N976" s="1" t="s">
        <v>21</v>
      </c>
      <c r="O976" s="1" t="str">
        <f>IF(OR(TBL_Employees[[#This Row],[Exit Date]],FALSE),"Left employees", "Current employees")</f>
        <v>Current employees</v>
      </c>
    </row>
    <row r="977" spans="1:15" x14ac:dyDescent="0.35">
      <c r="A977" t="s">
        <v>1940</v>
      </c>
      <c r="B977" t="s">
        <v>1941</v>
      </c>
      <c r="C977" t="s">
        <v>14</v>
      </c>
      <c r="D977" t="s">
        <v>23</v>
      </c>
      <c r="E977" t="s">
        <v>32</v>
      </c>
      <c r="F977" t="s">
        <v>28</v>
      </c>
      <c r="G977" t="s">
        <v>47</v>
      </c>
      <c r="H977">
        <v>45</v>
      </c>
      <c r="I977" s="1">
        <v>40524</v>
      </c>
      <c r="J977" s="2">
        <v>190512</v>
      </c>
      <c r="K977" s="3">
        <v>0.32</v>
      </c>
      <c r="L977" t="s">
        <v>19</v>
      </c>
      <c r="M977" t="s">
        <v>29</v>
      </c>
      <c r="N977" s="1" t="s">
        <v>21</v>
      </c>
      <c r="O977" s="1" t="str">
        <f>IF(OR(TBL_Employees[[#This Row],[Exit Date]],FALSE),"Left employees", "Current employees")</f>
        <v>Current employees</v>
      </c>
    </row>
    <row r="978" spans="1:15" x14ac:dyDescent="0.35">
      <c r="A978" t="s">
        <v>1942</v>
      </c>
      <c r="B978" t="s">
        <v>1943</v>
      </c>
      <c r="C978" t="s">
        <v>84</v>
      </c>
      <c r="D978" t="s">
        <v>31</v>
      </c>
      <c r="E978" t="s">
        <v>44</v>
      </c>
      <c r="F978" t="s">
        <v>17</v>
      </c>
      <c r="G978" t="s">
        <v>24</v>
      </c>
      <c r="H978">
        <v>37</v>
      </c>
      <c r="I978" s="1">
        <v>41318</v>
      </c>
      <c r="J978" s="2">
        <v>124827</v>
      </c>
      <c r="K978" s="3">
        <v>0</v>
      </c>
      <c r="L978" t="s">
        <v>33</v>
      </c>
      <c r="M978" t="s">
        <v>60</v>
      </c>
      <c r="N978" s="1" t="s">
        <v>21</v>
      </c>
      <c r="O978" s="1" t="str">
        <f>IF(OR(TBL_Employees[[#This Row],[Exit Date]],FALSE),"Left employees", "Current employees")</f>
        <v>Current employees</v>
      </c>
    </row>
    <row r="979" spans="1:15" x14ac:dyDescent="0.35">
      <c r="A979" t="s">
        <v>276</v>
      </c>
      <c r="B979" t="s">
        <v>1944</v>
      </c>
      <c r="C979" t="s">
        <v>62</v>
      </c>
      <c r="D979" t="s">
        <v>65</v>
      </c>
      <c r="E979" t="s">
        <v>36</v>
      </c>
      <c r="F979" t="s">
        <v>28</v>
      </c>
      <c r="G979" t="s">
        <v>18</v>
      </c>
      <c r="H979">
        <v>57</v>
      </c>
      <c r="I979" s="1">
        <v>43484</v>
      </c>
      <c r="J979" s="2">
        <v>101577</v>
      </c>
      <c r="K979" s="3">
        <v>0.05</v>
      </c>
      <c r="L979" t="s">
        <v>19</v>
      </c>
      <c r="M979" t="s">
        <v>20</v>
      </c>
      <c r="N979" s="1" t="s">
        <v>21</v>
      </c>
      <c r="O979" s="1" t="str">
        <f>IF(OR(TBL_Employees[[#This Row],[Exit Date]],FALSE),"Left employees", "Current employees")</f>
        <v>Current employees</v>
      </c>
    </row>
    <row r="980" spans="1:15" x14ac:dyDescent="0.35">
      <c r="A980" t="s">
        <v>1945</v>
      </c>
      <c r="B980" t="s">
        <v>1946</v>
      </c>
      <c r="C980" t="s">
        <v>62</v>
      </c>
      <c r="D980" t="s">
        <v>65</v>
      </c>
      <c r="E980" t="s">
        <v>36</v>
      </c>
      <c r="F980" t="s">
        <v>17</v>
      </c>
      <c r="G980" t="s">
        <v>51</v>
      </c>
      <c r="H980">
        <v>44</v>
      </c>
      <c r="I980" s="1">
        <v>38642</v>
      </c>
      <c r="J980" s="2">
        <v>105223</v>
      </c>
      <c r="K980" s="3">
        <v>0.1</v>
      </c>
      <c r="L980" t="s">
        <v>19</v>
      </c>
      <c r="M980" t="s">
        <v>39</v>
      </c>
      <c r="N980" s="1" t="s">
        <v>21</v>
      </c>
      <c r="O980" s="1" t="str">
        <f>IF(OR(TBL_Employees[[#This Row],[Exit Date]],FALSE),"Left employees", "Current employees")</f>
        <v>Current employees</v>
      </c>
    </row>
    <row r="981" spans="1:15" x14ac:dyDescent="0.35">
      <c r="A981" t="s">
        <v>153</v>
      </c>
      <c r="B981" t="s">
        <v>1947</v>
      </c>
      <c r="C981" t="s">
        <v>91</v>
      </c>
      <c r="D981" t="s">
        <v>27</v>
      </c>
      <c r="E981" t="s">
        <v>32</v>
      </c>
      <c r="F981" t="s">
        <v>28</v>
      </c>
      <c r="G981" t="s">
        <v>51</v>
      </c>
      <c r="H981">
        <v>48</v>
      </c>
      <c r="I981" s="1">
        <v>39635</v>
      </c>
      <c r="J981" s="2">
        <v>94815</v>
      </c>
      <c r="K981" s="3">
        <v>0</v>
      </c>
      <c r="L981" t="s">
        <v>19</v>
      </c>
      <c r="M981" t="s">
        <v>20</v>
      </c>
      <c r="N981" s="1" t="s">
        <v>21</v>
      </c>
      <c r="O981" s="1" t="str">
        <f>IF(OR(TBL_Employees[[#This Row],[Exit Date]],FALSE),"Left employees", "Current employees")</f>
        <v>Current employees</v>
      </c>
    </row>
    <row r="982" spans="1:15" x14ac:dyDescent="0.35">
      <c r="A982" t="s">
        <v>1948</v>
      </c>
      <c r="B982" t="s">
        <v>1949</v>
      </c>
      <c r="C982" t="s">
        <v>62</v>
      </c>
      <c r="D982" t="s">
        <v>65</v>
      </c>
      <c r="E982" t="s">
        <v>44</v>
      </c>
      <c r="F982" t="s">
        <v>17</v>
      </c>
      <c r="G982" t="s">
        <v>24</v>
      </c>
      <c r="H982">
        <v>25</v>
      </c>
      <c r="I982" s="1">
        <v>44545</v>
      </c>
      <c r="J982" s="2">
        <v>114893</v>
      </c>
      <c r="K982" s="3">
        <v>0.06</v>
      </c>
      <c r="L982" t="s">
        <v>33</v>
      </c>
      <c r="M982" t="s">
        <v>34</v>
      </c>
      <c r="N982" s="1" t="s">
        <v>21</v>
      </c>
      <c r="O982" s="1" t="str">
        <f>IF(OR(TBL_Employees[[#This Row],[Exit Date]],FALSE),"Left employees", "Current employees")</f>
        <v>Current employees</v>
      </c>
    </row>
    <row r="983" spans="1:15" x14ac:dyDescent="0.35">
      <c r="A983" t="s">
        <v>403</v>
      </c>
      <c r="B983" t="s">
        <v>1950</v>
      </c>
      <c r="C983" t="s">
        <v>42</v>
      </c>
      <c r="D983" t="s">
        <v>43</v>
      </c>
      <c r="E983" t="s">
        <v>44</v>
      </c>
      <c r="F983" t="s">
        <v>17</v>
      </c>
      <c r="G983" t="s">
        <v>51</v>
      </c>
      <c r="H983">
        <v>35</v>
      </c>
      <c r="I983" s="1">
        <v>42745</v>
      </c>
      <c r="J983" s="2">
        <v>80622</v>
      </c>
      <c r="K983" s="3">
        <v>0</v>
      </c>
      <c r="L983" t="s">
        <v>19</v>
      </c>
      <c r="M983" t="s">
        <v>25</v>
      </c>
      <c r="N983" s="1" t="s">
        <v>21</v>
      </c>
      <c r="O983" s="1" t="str">
        <f>IF(OR(TBL_Employees[[#This Row],[Exit Date]],FALSE),"Left employees", "Current employees")</f>
        <v>Current employees</v>
      </c>
    </row>
    <row r="984" spans="1:15" x14ac:dyDescent="0.35">
      <c r="A984" t="s">
        <v>463</v>
      </c>
      <c r="B984" t="s">
        <v>1951</v>
      </c>
      <c r="C984" t="s">
        <v>14</v>
      </c>
      <c r="D984" t="s">
        <v>27</v>
      </c>
      <c r="E984" t="s">
        <v>44</v>
      </c>
      <c r="F984" t="s">
        <v>17</v>
      </c>
      <c r="G984" t="s">
        <v>24</v>
      </c>
      <c r="H984">
        <v>57</v>
      </c>
      <c r="I984" s="1">
        <v>42685</v>
      </c>
      <c r="J984" s="2">
        <v>246589</v>
      </c>
      <c r="K984" s="3">
        <v>0.33</v>
      </c>
      <c r="L984" t="s">
        <v>19</v>
      </c>
      <c r="M984" t="s">
        <v>39</v>
      </c>
      <c r="N984" s="1">
        <v>42820</v>
      </c>
      <c r="O984" s="1" t="str">
        <f>IF(OR(TBL_Employees[[#This Row],[Exit Date]],FALSE),"Left employees", "Current employees")</f>
        <v>Left employees</v>
      </c>
    </row>
    <row r="985" spans="1:15" x14ac:dyDescent="0.35">
      <c r="A985" t="s">
        <v>1952</v>
      </c>
      <c r="B985" t="s">
        <v>1953</v>
      </c>
      <c r="C985" t="s">
        <v>62</v>
      </c>
      <c r="D985" t="s">
        <v>43</v>
      </c>
      <c r="E985" t="s">
        <v>44</v>
      </c>
      <c r="F985" t="s">
        <v>28</v>
      </c>
      <c r="G985" t="s">
        <v>24</v>
      </c>
      <c r="H985">
        <v>49</v>
      </c>
      <c r="I985" s="1">
        <v>43240</v>
      </c>
      <c r="J985" s="2">
        <v>119397</v>
      </c>
      <c r="K985" s="3">
        <v>0.09</v>
      </c>
      <c r="L985" t="s">
        <v>33</v>
      </c>
      <c r="M985" t="s">
        <v>60</v>
      </c>
      <c r="N985" s="1">
        <v>43538</v>
      </c>
      <c r="O985" s="1" t="str">
        <f>IF(OR(TBL_Employees[[#This Row],[Exit Date]],FALSE),"Left employees", "Current employees")</f>
        <v>Left employees</v>
      </c>
    </row>
    <row r="986" spans="1:15" x14ac:dyDescent="0.35">
      <c r="A986" t="s">
        <v>1954</v>
      </c>
      <c r="B986" t="s">
        <v>1955</v>
      </c>
      <c r="C986" t="s">
        <v>40</v>
      </c>
      <c r="D986" t="s">
        <v>50</v>
      </c>
      <c r="E986" t="s">
        <v>32</v>
      </c>
      <c r="F986" t="s">
        <v>17</v>
      </c>
      <c r="G986" t="s">
        <v>24</v>
      </c>
      <c r="H986">
        <v>25</v>
      </c>
      <c r="I986" s="1">
        <v>44549</v>
      </c>
      <c r="J986" s="2">
        <v>150666</v>
      </c>
      <c r="K986" s="3">
        <v>0.23</v>
      </c>
      <c r="L986" t="s">
        <v>33</v>
      </c>
      <c r="M986" t="s">
        <v>34</v>
      </c>
      <c r="N986" s="1" t="s">
        <v>21</v>
      </c>
      <c r="O986" s="1" t="str">
        <f>IF(OR(TBL_Employees[[#This Row],[Exit Date]],FALSE),"Left employees", "Current employees")</f>
        <v>Current employees</v>
      </c>
    </row>
    <row r="987" spans="1:15" x14ac:dyDescent="0.35">
      <c r="A987" t="s">
        <v>1956</v>
      </c>
      <c r="B987" t="s">
        <v>1957</v>
      </c>
      <c r="C987" t="s">
        <v>61</v>
      </c>
      <c r="D987" t="s">
        <v>27</v>
      </c>
      <c r="E987" t="s">
        <v>16</v>
      </c>
      <c r="F987" t="s">
        <v>17</v>
      </c>
      <c r="G987" t="s">
        <v>18</v>
      </c>
      <c r="H987">
        <v>46</v>
      </c>
      <c r="I987" s="1">
        <v>37265</v>
      </c>
      <c r="J987" s="2">
        <v>148035</v>
      </c>
      <c r="K987" s="3">
        <v>0.14000000000000001</v>
      </c>
      <c r="L987" t="s">
        <v>19</v>
      </c>
      <c r="M987" t="s">
        <v>39</v>
      </c>
      <c r="N987" s="1" t="s">
        <v>21</v>
      </c>
      <c r="O987" s="1" t="str">
        <f>IF(OR(TBL_Employees[[#This Row],[Exit Date]],FALSE),"Left employees", "Current employees")</f>
        <v>Current employees</v>
      </c>
    </row>
    <row r="988" spans="1:15" x14ac:dyDescent="0.35">
      <c r="A988" t="s">
        <v>519</v>
      </c>
      <c r="B988" t="s">
        <v>1958</v>
      </c>
      <c r="C988" t="s">
        <v>40</v>
      </c>
      <c r="D988" t="s">
        <v>15</v>
      </c>
      <c r="E988" t="s">
        <v>32</v>
      </c>
      <c r="F988" t="s">
        <v>28</v>
      </c>
      <c r="G988" t="s">
        <v>24</v>
      </c>
      <c r="H988">
        <v>60</v>
      </c>
      <c r="I988" s="1">
        <v>42891</v>
      </c>
      <c r="J988" s="2">
        <v>158898</v>
      </c>
      <c r="K988" s="3">
        <v>0.18</v>
      </c>
      <c r="L988" t="s">
        <v>19</v>
      </c>
      <c r="M988" t="s">
        <v>45</v>
      </c>
      <c r="N988" s="1" t="s">
        <v>21</v>
      </c>
      <c r="O988" s="1" t="str">
        <f>IF(OR(TBL_Employees[[#This Row],[Exit Date]],FALSE),"Left employees", "Current employees")</f>
        <v>Current employees</v>
      </c>
    </row>
    <row r="989" spans="1:15" x14ac:dyDescent="0.35">
      <c r="A989" t="s">
        <v>1959</v>
      </c>
      <c r="B989" t="s">
        <v>1960</v>
      </c>
      <c r="C989" t="s">
        <v>129</v>
      </c>
      <c r="D989" t="s">
        <v>31</v>
      </c>
      <c r="E989" t="s">
        <v>32</v>
      </c>
      <c r="F989" t="s">
        <v>17</v>
      </c>
      <c r="G989" t="s">
        <v>24</v>
      </c>
      <c r="H989">
        <v>45</v>
      </c>
      <c r="I989" s="1">
        <v>40967</v>
      </c>
      <c r="J989" s="2">
        <v>89659</v>
      </c>
      <c r="K989" s="3">
        <v>0</v>
      </c>
      <c r="L989" t="s">
        <v>33</v>
      </c>
      <c r="M989" t="s">
        <v>60</v>
      </c>
      <c r="N989" s="1" t="s">
        <v>21</v>
      </c>
      <c r="O989" s="1" t="str">
        <f>IF(OR(TBL_Employees[[#This Row],[Exit Date]],FALSE),"Left employees", "Current employees")</f>
        <v>Current employees</v>
      </c>
    </row>
    <row r="990" spans="1:15" x14ac:dyDescent="0.35">
      <c r="A990" t="s">
        <v>1961</v>
      </c>
      <c r="B990" t="s">
        <v>1962</v>
      </c>
      <c r="C990" t="s">
        <v>40</v>
      </c>
      <c r="D990" t="s">
        <v>50</v>
      </c>
      <c r="E990" t="s">
        <v>44</v>
      </c>
      <c r="F990" t="s">
        <v>17</v>
      </c>
      <c r="G990" t="s">
        <v>18</v>
      </c>
      <c r="H990">
        <v>39</v>
      </c>
      <c r="I990" s="1">
        <v>39201</v>
      </c>
      <c r="J990" s="2">
        <v>171487</v>
      </c>
      <c r="K990" s="3">
        <v>0.23</v>
      </c>
      <c r="L990" t="s">
        <v>19</v>
      </c>
      <c r="M990" t="s">
        <v>39</v>
      </c>
      <c r="N990" s="1" t="s">
        <v>21</v>
      </c>
      <c r="O990" s="1" t="str">
        <f>IF(OR(TBL_Employees[[#This Row],[Exit Date]],FALSE),"Left employees", "Current employees")</f>
        <v>Current employees</v>
      </c>
    </row>
    <row r="991" spans="1:15" x14ac:dyDescent="0.35">
      <c r="A991" t="s">
        <v>1963</v>
      </c>
      <c r="B991" t="s">
        <v>1964</v>
      </c>
      <c r="C991" t="s">
        <v>14</v>
      </c>
      <c r="D991" t="s">
        <v>50</v>
      </c>
      <c r="E991" t="s">
        <v>36</v>
      </c>
      <c r="F991" t="s">
        <v>17</v>
      </c>
      <c r="G991" t="s">
        <v>51</v>
      </c>
      <c r="H991">
        <v>43</v>
      </c>
      <c r="I991" s="1">
        <v>42603</v>
      </c>
      <c r="J991" s="2">
        <v>258498</v>
      </c>
      <c r="K991" s="3">
        <v>0.35</v>
      </c>
      <c r="L991" t="s">
        <v>19</v>
      </c>
      <c r="M991" t="s">
        <v>29</v>
      </c>
      <c r="N991" s="1" t="s">
        <v>21</v>
      </c>
      <c r="O991" s="1" t="str">
        <f>IF(OR(TBL_Employees[[#This Row],[Exit Date]],FALSE),"Left employees", "Current employees")</f>
        <v>Current employees</v>
      </c>
    </row>
    <row r="992" spans="1:15" x14ac:dyDescent="0.35">
      <c r="A992" t="s">
        <v>313</v>
      </c>
      <c r="B992" t="s">
        <v>1965</v>
      </c>
      <c r="C992" t="s">
        <v>61</v>
      </c>
      <c r="D992" t="s">
        <v>27</v>
      </c>
      <c r="E992" t="s">
        <v>16</v>
      </c>
      <c r="F992" t="s">
        <v>28</v>
      </c>
      <c r="G992" t="s">
        <v>24</v>
      </c>
      <c r="H992">
        <v>37</v>
      </c>
      <c r="I992" s="1">
        <v>40511</v>
      </c>
      <c r="J992" s="2">
        <v>146961</v>
      </c>
      <c r="K992" s="3">
        <v>0.11</v>
      </c>
      <c r="L992" t="s">
        <v>19</v>
      </c>
      <c r="M992" t="s">
        <v>29</v>
      </c>
      <c r="N992" s="1" t="s">
        <v>2025</v>
      </c>
      <c r="O992" s="1" t="str">
        <f>IF(OR(TBL_Employees[[#This Row],[Exit Date]],FALSE),"Left employees", "Current employees")</f>
        <v>Current employees</v>
      </c>
    </row>
    <row r="993" spans="1:15" x14ac:dyDescent="0.35">
      <c r="A993" t="s">
        <v>1966</v>
      </c>
      <c r="B993" t="s">
        <v>1967</v>
      </c>
      <c r="C993" t="s">
        <v>77</v>
      </c>
      <c r="D993" t="s">
        <v>23</v>
      </c>
      <c r="E993" t="s">
        <v>16</v>
      </c>
      <c r="F993" t="s">
        <v>28</v>
      </c>
      <c r="G993" t="s">
        <v>51</v>
      </c>
      <c r="H993">
        <v>48</v>
      </c>
      <c r="I993" s="1">
        <v>35907</v>
      </c>
      <c r="J993" s="2">
        <v>85369</v>
      </c>
      <c r="K993" s="3">
        <v>0</v>
      </c>
      <c r="L993" t="s">
        <v>52</v>
      </c>
      <c r="M993" t="s">
        <v>81</v>
      </c>
      <c r="N993" s="1">
        <v>38318</v>
      </c>
      <c r="O993" s="1" t="str">
        <f>IF(OR(TBL_Employees[[#This Row],[Exit Date]],FALSE),"Left employees", "Current employees")</f>
        <v>Left employees</v>
      </c>
    </row>
    <row r="994" spans="1:15" x14ac:dyDescent="0.35">
      <c r="A994" t="s">
        <v>1117</v>
      </c>
      <c r="B994" t="s">
        <v>1968</v>
      </c>
      <c r="C994" t="s">
        <v>55</v>
      </c>
      <c r="D994" t="s">
        <v>27</v>
      </c>
      <c r="E994" t="s">
        <v>36</v>
      </c>
      <c r="F994" t="s">
        <v>28</v>
      </c>
      <c r="G994" t="s">
        <v>18</v>
      </c>
      <c r="H994">
        <v>30</v>
      </c>
      <c r="I994" s="1">
        <v>42169</v>
      </c>
      <c r="J994" s="2">
        <v>67489</v>
      </c>
      <c r="K994" s="3">
        <v>0</v>
      </c>
      <c r="L994" t="s">
        <v>19</v>
      </c>
      <c r="M994" t="s">
        <v>20</v>
      </c>
      <c r="N994" s="1" t="s">
        <v>21</v>
      </c>
      <c r="O994" s="1" t="str">
        <f>IF(OR(TBL_Employees[[#This Row],[Exit Date]],FALSE),"Left employees", "Current employees")</f>
        <v>Current employees</v>
      </c>
    </row>
    <row r="995" spans="1:15" x14ac:dyDescent="0.35">
      <c r="A995" t="s">
        <v>1969</v>
      </c>
      <c r="B995" t="s">
        <v>1970</v>
      </c>
      <c r="C995" t="s">
        <v>40</v>
      </c>
      <c r="D995" t="s">
        <v>27</v>
      </c>
      <c r="E995" t="s">
        <v>36</v>
      </c>
      <c r="F995" t="s">
        <v>17</v>
      </c>
      <c r="G995" t="s">
        <v>18</v>
      </c>
      <c r="H995">
        <v>46</v>
      </c>
      <c r="I995" s="1">
        <v>43379</v>
      </c>
      <c r="J995" s="2">
        <v>166259</v>
      </c>
      <c r="K995" s="3">
        <v>0.17</v>
      </c>
      <c r="L995" t="s">
        <v>19</v>
      </c>
      <c r="M995" t="s">
        <v>20</v>
      </c>
      <c r="N995" s="1" t="s">
        <v>21</v>
      </c>
      <c r="O995" s="1" t="str">
        <f>IF(OR(TBL_Employees[[#This Row],[Exit Date]],FALSE),"Left employees", "Current employees")</f>
        <v>Current employees</v>
      </c>
    </row>
    <row r="996" spans="1:15" x14ac:dyDescent="0.35">
      <c r="A996" t="s">
        <v>1971</v>
      </c>
      <c r="B996" t="s">
        <v>1972</v>
      </c>
      <c r="C996" t="s">
        <v>76</v>
      </c>
      <c r="D996" t="s">
        <v>27</v>
      </c>
      <c r="E996" t="s">
        <v>32</v>
      </c>
      <c r="F996" t="s">
        <v>17</v>
      </c>
      <c r="G996" t="s">
        <v>24</v>
      </c>
      <c r="H996">
        <v>55</v>
      </c>
      <c r="I996" s="1">
        <v>39820</v>
      </c>
      <c r="J996" s="2">
        <v>47032</v>
      </c>
      <c r="K996" s="3">
        <v>0</v>
      </c>
      <c r="L996" t="s">
        <v>19</v>
      </c>
      <c r="M996" t="s">
        <v>29</v>
      </c>
      <c r="N996" s="1" t="s">
        <v>21</v>
      </c>
      <c r="O996" s="1" t="str">
        <f>IF(OR(TBL_Employees[[#This Row],[Exit Date]],FALSE),"Left employees", "Current employees")</f>
        <v>Current employees</v>
      </c>
    </row>
    <row r="997" spans="1:15" x14ac:dyDescent="0.35">
      <c r="A997" t="s">
        <v>1973</v>
      </c>
      <c r="B997" t="s">
        <v>1974</v>
      </c>
      <c r="C997" t="s">
        <v>42</v>
      </c>
      <c r="D997" t="s">
        <v>43</v>
      </c>
      <c r="E997" t="s">
        <v>44</v>
      </c>
      <c r="F997" t="s">
        <v>28</v>
      </c>
      <c r="G997" t="s">
        <v>18</v>
      </c>
      <c r="H997">
        <v>33</v>
      </c>
      <c r="I997" s="1">
        <v>42631</v>
      </c>
      <c r="J997" s="2">
        <v>98427</v>
      </c>
      <c r="K997" s="3">
        <v>0</v>
      </c>
      <c r="L997" t="s">
        <v>19</v>
      </c>
      <c r="M997" t="s">
        <v>29</v>
      </c>
      <c r="N997" s="1" t="s">
        <v>21</v>
      </c>
      <c r="O997" s="1" t="str">
        <f>IF(OR(TBL_Employees[[#This Row],[Exit Date]],FALSE),"Left employees", "Current employees")</f>
        <v>Current employees</v>
      </c>
    </row>
    <row r="998" spans="1:15" x14ac:dyDescent="0.35">
      <c r="A998" t="s">
        <v>1975</v>
      </c>
      <c r="B998" t="s">
        <v>1976</v>
      </c>
      <c r="C998" t="s">
        <v>68</v>
      </c>
      <c r="D998" t="s">
        <v>15</v>
      </c>
      <c r="E998" t="s">
        <v>44</v>
      </c>
      <c r="F998" t="s">
        <v>17</v>
      </c>
      <c r="G998" t="s">
        <v>24</v>
      </c>
      <c r="H998">
        <v>44</v>
      </c>
      <c r="I998" s="1">
        <v>40329</v>
      </c>
      <c r="J998" s="2">
        <v>47387</v>
      </c>
      <c r="K998" s="3">
        <v>0</v>
      </c>
      <c r="L998" t="s">
        <v>33</v>
      </c>
      <c r="M998" t="s">
        <v>34</v>
      </c>
      <c r="N998" s="1">
        <v>43108</v>
      </c>
      <c r="O998" s="1" t="str">
        <f>IF(OR(TBL_Employees[[#This Row],[Exit Date]],FALSE),"Left employees", "Current employees")</f>
        <v>Left employees</v>
      </c>
    </row>
    <row r="999" spans="1:15" x14ac:dyDescent="0.35">
      <c r="A999" t="s">
        <v>1977</v>
      </c>
      <c r="B999" t="s">
        <v>1978</v>
      </c>
      <c r="C999" t="s">
        <v>40</v>
      </c>
      <c r="D999" t="s">
        <v>43</v>
      </c>
      <c r="E999" t="s">
        <v>44</v>
      </c>
      <c r="F999" t="s">
        <v>28</v>
      </c>
      <c r="G999" t="s">
        <v>24</v>
      </c>
      <c r="H999">
        <v>31</v>
      </c>
      <c r="I999" s="1">
        <v>43626</v>
      </c>
      <c r="J999" s="2">
        <v>176710</v>
      </c>
      <c r="K999" s="3">
        <v>0.15</v>
      </c>
      <c r="L999" t="s">
        <v>19</v>
      </c>
      <c r="M999" t="s">
        <v>45</v>
      </c>
      <c r="N999" s="1" t="s">
        <v>21</v>
      </c>
      <c r="O999" s="1" t="str">
        <f>IF(OR(TBL_Employees[[#This Row],[Exit Date]],FALSE),"Left employees", "Current employees")</f>
        <v>Current employees</v>
      </c>
    </row>
    <row r="1000" spans="1:15" x14ac:dyDescent="0.35">
      <c r="A1000" t="s">
        <v>1979</v>
      </c>
      <c r="B1000" t="s">
        <v>1980</v>
      </c>
      <c r="C1000" t="s">
        <v>42</v>
      </c>
      <c r="D1000" t="s">
        <v>15</v>
      </c>
      <c r="E1000" t="s">
        <v>44</v>
      </c>
      <c r="F1000" t="s">
        <v>17</v>
      </c>
      <c r="G1000" t="s">
        <v>24</v>
      </c>
      <c r="H1000">
        <v>33</v>
      </c>
      <c r="I1000" s="1">
        <v>40936</v>
      </c>
      <c r="J1000" s="2">
        <v>95960</v>
      </c>
      <c r="K1000" s="3">
        <v>0</v>
      </c>
      <c r="L1000" t="s">
        <v>33</v>
      </c>
      <c r="M1000" t="s">
        <v>34</v>
      </c>
      <c r="N1000" s="1" t="s">
        <v>21</v>
      </c>
      <c r="O1000" s="1" t="str">
        <f>IF(OR(TBL_Employees[[#This Row],[Exit Date]],FALSE),"Left employees", "Current employees")</f>
        <v>Current employees</v>
      </c>
    </row>
    <row r="1001" spans="1:15" x14ac:dyDescent="0.35">
      <c r="A1001" t="s">
        <v>1981</v>
      </c>
      <c r="B1001" t="s">
        <v>1982</v>
      </c>
      <c r="C1001" t="s">
        <v>14</v>
      </c>
      <c r="D1001" t="s">
        <v>65</v>
      </c>
      <c r="E1001" t="s">
        <v>32</v>
      </c>
      <c r="F1001" t="s">
        <v>17</v>
      </c>
      <c r="G1001" t="s">
        <v>24</v>
      </c>
      <c r="H1001">
        <v>63</v>
      </c>
      <c r="I1001" s="1">
        <v>44038</v>
      </c>
      <c r="J1001" s="2">
        <v>216195</v>
      </c>
      <c r="K1001" s="3">
        <v>0.31</v>
      </c>
      <c r="L1001" t="s">
        <v>19</v>
      </c>
      <c r="M1001" t="s">
        <v>45</v>
      </c>
      <c r="N1001" s="1" t="s">
        <v>21</v>
      </c>
      <c r="O1001" s="1" t="str">
        <f>IF(OR(TBL_Employees[[#This Row],[Exit Date]],FALSE),"Left employees", "Current employees")</f>
        <v>Current employees</v>
      </c>
    </row>
  </sheetData>
  <phoneticPr fontId="3" type="noConversion"/>
  <dataValidations count="1">
    <dataValidation type="custom" allowBlank="1" showInputMessage="1" showErrorMessage="1" error="Value in this field should be unique" sqref="A1" xr:uid="{3BA89954-156E-4BC7-A0DE-123358A58D53}">
      <formula1>COUNTIF(A:A,A2)&lt;=1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17>@ 2548B5  745AL  >?8A0=85  >17>@0 
</file>

<file path=customXml/item4.xml>�� 17>@ 2548B5  745AL  >?8A0=85  >17>@0 !;>9 
</file>

<file path=customXml/itemProps1.xml><?xml version="1.0" encoding="utf-8"?>
<ds:datastoreItem xmlns:ds="http://schemas.openxmlformats.org/officeDocument/2006/customXml" ds:itemID="{724F10AD-B244-4B95-B941-4AE22BFBF3A1}">
  <ds:schemaRefs>
    <ds:schemaRef ds:uri="http://www.w3.org/2001/XMLSchema"/>
    <ds:schemaRef ds:uri="http://microsoft.data.visualization.Client.Excel.PState/1.0"/>
  </ds:schemaRefs>
</ds:datastoreItem>
</file>

<file path=customXml/itemProps2.xml><?xml version="1.0" encoding="utf-8"?>
<ds:datastoreItem xmlns:ds="http://schemas.openxmlformats.org/officeDocument/2006/customXml" ds:itemID="{E107BC78-7424-4A05-8657-8B0956C0DEFD}">
  <ds:schemaRefs>
    <ds:schemaRef ds:uri="http://www.w3.org/2001/XMLSchema"/>
    <ds:schemaRef ds:uri="http://microsoft.data.visualization.Client.Excel.LState/1.0"/>
  </ds:schemaRefs>
</ds:datastoreItem>
</file>

<file path=customXml/itemProps3.xml><?xml version="1.0" encoding="utf-8"?>
<ds:datastoreItem xmlns:ds="http://schemas.openxmlformats.org/officeDocument/2006/customXml" ds:itemID="{4C39F439-F19B-4354-9AD2-FD8DF514D4C8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0EB973C6-1DEF-4981-9743-2130CE6C94FF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4</vt:i4>
      </vt:variant>
    </vt:vector>
  </HeadingPairs>
  <TitlesOfParts>
    <vt:vector size="10" baseType="lpstr">
      <vt:lpstr>Employees List</vt:lpstr>
      <vt:lpstr>Employees</vt:lpstr>
      <vt:lpstr>Bonuces Dashboard</vt:lpstr>
      <vt:lpstr>Salaries Dashboard</vt:lpstr>
      <vt:lpstr>PivotTables</vt:lpstr>
      <vt:lpstr>Data</vt:lpstr>
      <vt:lpstr>ContriesRange</vt:lpstr>
      <vt:lpstr>DepartmentRange</vt:lpstr>
      <vt:lpstr>DepartmentsRange</vt:lpstr>
      <vt:lpstr>Max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Newman</dc:creator>
  <cp:lastModifiedBy>0</cp:lastModifiedBy>
  <dcterms:created xsi:type="dcterms:W3CDTF">2022-08-29T14:02:56Z</dcterms:created>
  <dcterms:modified xsi:type="dcterms:W3CDTF">2023-06-30T12:20:52Z</dcterms:modified>
</cp:coreProperties>
</file>